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tuj\Desktop\RESEARCH_ANALYSIS\02_Clean_Data\ONS\"/>
    </mc:Choice>
  </mc:AlternateContent>
  <xr:revisionPtr revIDLastSave="0" documentId="13_ncr:1_{A799A5EC-DB43-48CF-A856-1DE6FAE40C3B}" xr6:coauthVersionLast="47" xr6:coauthVersionMax="47" xr10:uidLastSave="{00000000-0000-0000-0000-000000000000}"/>
  <bookViews>
    <workbookView xWindow="-108" yWindow="-108" windowWidth="23256" windowHeight="12456" xr2:uid="{89E9095B-0869-4A85-BC26-7F4DD814EE2C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C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2" i="4"/>
  <c r="C2" i="3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3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2" i="4"/>
  <c r="B2" i="3"/>
  <c r="B2" i="1"/>
  <c r="B2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3" i="2"/>
</calcChain>
</file>

<file path=xl/sharedStrings.xml><?xml version="1.0" encoding="utf-8"?>
<sst xmlns="http://schemas.openxmlformats.org/spreadsheetml/2006/main" count="500" uniqueCount="133">
  <si>
    <t>Quarter</t>
  </si>
  <si>
    <t>Year</t>
  </si>
  <si>
    <t>Quarter_No</t>
  </si>
  <si>
    <t>Tot_Emp</t>
  </si>
  <si>
    <t>UK_Tot</t>
  </si>
  <si>
    <t>NonUK_Tot</t>
  </si>
  <si>
    <t>EU27_Tot</t>
  </si>
  <si>
    <t>NonEU_Tot</t>
  </si>
  <si>
    <t>Jan-Mar 1997</t>
  </si>
  <si>
    <t>Apr-Jun 1997</t>
  </si>
  <si>
    <t>Jul-Sep 1997</t>
  </si>
  <si>
    <t>Oct-Dec 1997</t>
  </si>
  <si>
    <t>Jan-Mar 1998</t>
  </si>
  <si>
    <t>Apr-Jun 1998</t>
  </si>
  <si>
    <t>Jul-Sep 1998</t>
  </si>
  <si>
    <t>Oct-Dec 1998</t>
  </si>
  <si>
    <t>Jan-Mar 1999</t>
  </si>
  <si>
    <t>Apr-Jun 1999</t>
  </si>
  <si>
    <t>Jul-Sep 1999</t>
  </si>
  <si>
    <t>Oct-Dec 1999</t>
  </si>
  <si>
    <t>Jan-Mar 2000</t>
  </si>
  <si>
    <t>Apr-Jun 2000</t>
  </si>
  <si>
    <t>Jul-Sep 2000</t>
  </si>
  <si>
    <t>Oct-Dec 2000</t>
  </si>
  <si>
    <t>Jan-Mar 2001</t>
  </si>
  <si>
    <t>Apr-Jun 2001</t>
  </si>
  <si>
    <t>Jul-Sep 2001</t>
  </si>
  <si>
    <t>Oct-Dec 2001</t>
  </si>
  <si>
    <t>Jan-Mar 2002</t>
  </si>
  <si>
    <t>Apr-Jun 2002</t>
  </si>
  <si>
    <t>Jul-Sep 2002</t>
  </si>
  <si>
    <t>Oct-Dec 2002</t>
  </si>
  <si>
    <t>Jan-Mar 2003</t>
  </si>
  <si>
    <t>Apr-Jun 2003</t>
  </si>
  <si>
    <t>Jul-Sep 2003</t>
  </si>
  <si>
    <t>Oct-Dec 2003</t>
  </si>
  <si>
    <t>Jan-Mar 2004</t>
  </si>
  <si>
    <t>Apr-Jun 2004</t>
  </si>
  <si>
    <t>Jul-Sep 2004</t>
  </si>
  <si>
    <t>Oct-Dec 2004</t>
  </si>
  <si>
    <t>Jan-Mar 2005</t>
  </si>
  <si>
    <t>Apr-Jun 2005</t>
  </si>
  <si>
    <t>Jul-Sep 2005</t>
  </si>
  <si>
    <t>Oct-Dec 2005</t>
  </si>
  <si>
    <t>Jan-Mar 2006</t>
  </si>
  <si>
    <t>Apr-Jun 2006</t>
  </si>
  <si>
    <t>Jul-Sep 2006</t>
  </si>
  <si>
    <t>Oct-Dec 2006</t>
  </si>
  <si>
    <t>Jan-Mar 2007</t>
  </si>
  <si>
    <t>Apr-Jun 2007</t>
  </si>
  <si>
    <t>Jul-Sep 2007</t>
  </si>
  <si>
    <t>Oct-Dec 2007</t>
  </si>
  <si>
    <t>Jan-Mar 2008</t>
  </si>
  <si>
    <t>Apr-Jun 2008</t>
  </si>
  <si>
    <t>Jul-Sep 2008</t>
  </si>
  <si>
    <t>Oct-Dec 2008</t>
  </si>
  <si>
    <t>Jan-Mar 2009</t>
  </si>
  <si>
    <t>Apr-Jun 2009</t>
  </si>
  <si>
    <t>Jul-Sep 2009</t>
  </si>
  <si>
    <t>Oct-Dec 2009</t>
  </si>
  <si>
    <t>Jan-Mar 2010</t>
  </si>
  <si>
    <t>Apr-Jun 2010</t>
  </si>
  <si>
    <t>Jul-Sep 2010</t>
  </si>
  <si>
    <t>Oct-Dec 2010</t>
  </si>
  <si>
    <t>Jan-Mar 2011</t>
  </si>
  <si>
    <t>Apr-Jun 2011</t>
  </si>
  <si>
    <t>Jul-Sep 2011</t>
  </si>
  <si>
    <t>Oct-Dec 2011</t>
  </si>
  <si>
    <t>Jan-Mar 2012</t>
  </si>
  <si>
    <t>Apr-Jun 2012</t>
  </si>
  <si>
    <t>Jul-Sep 2012</t>
  </si>
  <si>
    <t>Oct-Dec 2012</t>
  </si>
  <si>
    <t>Jan-Mar 2013</t>
  </si>
  <si>
    <t>Apr-Jun 2013</t>
  </si>
  <si>
    <t>Jul-Sep 2013</t>
  </si>
  <si>
    <t>Oct-Dec 2013</t>
  </si>
  <si>
    <t>Jan-Mar 2014</t>
  </si>
  <si>
    <t>Apr-Jun 2014</t>
  </si>
  <si>
    <t>Jul-Sep 2014</t>
  </si>
  <si>
    <t>Oct-Dec 2014</t>
  </si>
  <si>
    <t>Jan-Mar 2015</t>
  </si>
  <si>
    <t>Apr-Jun 2015</t>
  </si>
  <si>
    <t>Jul-Sep 2015</t>
  </si>
  <si>
    <t>Oct-Dec 2015</t>
  </si>
  <si>
    <t>Jan-Mar 2016</t>
  </si>
  <si>
    <t>Apr-Jun 2016</t>
  </si>
  <si>
    <t>Jul-Sep 2016</t>
  </si>
  <si>
    <t>Oct-Dec 2016</t>
  </si>
  <si>
    <t>Jan-Mar 2017</t>
  </si>
  <si>
    <t>Apr-Jun 2017</t>
  </si>
  <si>
    <t>Jul-Sep 2017</t>
  </si>
  <si>
    <t>Oct-Dec 2017</t>
  </si>
  <si>
    <t>Jan-Mar 2018</t>
  </si>
  <si>
    <t>Apr-Jun 2018</t>
  </si>
  <si>
    <t>Jul-Sep 2018</t>
  </si>
  <si>
    <t>Oct-Dec 2018</t>
  </si>
  <si>
    <t>Jan-Mar 2019</t>
  </si>
  <si>
    <t>Apr-Jun 2019</t>
  </si>
  <si>
    <t>Jul-Sep 2019</t>
  </si>
  <si>
    <t>Oct-Dec 2019</t>
  </si>
  <si>
    <t>Jan-Mar 2020</t>
  </si>
  <si>
    <t>Apr-Jun 2020</t>
  </si>
  <si>
    <t>Jul-Sep 2020</t>
  </si>
  <si>
    <t>Oct-Dec 2020</t>
  </si>
  <si>
    <t>Jan-Mar 2021</t>
  </si>
  <si>
    <t>Apr-Jun 2021</t>
  </si>
  <si>
    <t>Jul-Sep 2021</t>
  </si>
  <si>
    <t>Oct-Dec 2021</t>
  </si>
  <si>
    <t>Jan-Mar 2022</t>
  </si>
  <si>
    <t>Apr-Jun 2022</t>
  </si>
  <si>
    <t>Jul-Sep 2022</t>
  </si>
  <si>
    <t>Oct-Dec 2022</t>
  </si>
  <si>
    <t>Jan-Mar 2023</t>
  </si>
  <si>
    <t>Apr-Jun 2023</t>
  </si>
  <si>
    <t>Jul-Sep 2023</t>
  </si>
  <si>
    <t>Oct-Dec 2023</t>
  </si>
  <si>
    <t>Jan-Mar 2024</t>
  </si>
  <si>
    <t>Apr-Jun 2024</t>
  </si>
  <si>
    <t>Jul-Sep 2024</t>
  </si>
  <si>
    <t>Oct-Dec 2024</t>
  </si>
  <si>
    <t>Jan-Mar 2025</t>
  </si>
  <si>
    <t>Apr-Jun 2025</t>
  </si>
  <si>
    <t>Jul-Sep 2025</t>
  </si>
  <si>
    <t>Oct-Dec 2025</t>
  </si>
  <si>
    <t>Jan-Mar 2026</t>
  </si>
  <si>
    <t>Tot_Emp_Rt</t>
  </si>
  <si>
    <t>UK_Emp_Rt</t>
  </si>
  <si>
    <t>NonUK_Emp_Rt</t>
  </si>
  <si>
    <t>EU27_Emp_Rt</t>
  </si>
  <si>
    <t>NonEU_Emp_Rt</t>
  </si>
  <si>
    <t>Tot</t>
  </si>
  <si>
    <t>NonUk_Tot</t>
  </si>
  <si>
    <t>NonUk_Emp_Rt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</si>
</sst>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5" xfId="0" applyFont="1" applyBorder="1"/>
    <xf numFmtId="164" fontId="1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164" fontId="1" fillId="0" borderId="10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49" fontId="1" fillId="0" borderId="8" xfId="0" applyNumberFormat="1" applyFont="1" applyBorder="1"/>
    <xf numFmtId="0" fontId="1" fillId="0" borderId="14" xfId="0" applyFont="1" applyBorder="1"/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 applyAlignment="1">
      <alignment wrapText="1"/>
    </xf>
    <xf numFmtId="0" fontId="1" fillId="0" borderId="7" xfId="0" applyFont="1" applyBorder="1"/>
    <xf numFmtId="3" fontId="1" fillId="0" borderId="0" xfId="0" applyNumberFormat="1" applyFont="1"/>
    <xf numFmtId="3" fontId="1" fillId="0" borderId="5" xfId="0" applyNumberFormat="1" applyFont="1" applyBorder="1"/>
    <xf numFmtId="3" fontId="1" fillId="0" borderId="7" xfId="0" applyNumberFormat="1" applyFont="1" applyBorder="1"/>
    <xf numFmtId="0" fontId="1" fillId="0" borderId="10" xfId="0" applyFont="1" applyBorder="1"/>
    <xf numFmtId="3" fontId="1" fillId="0" borderId="10" xfId="0" applyNumberFormat="1" applyFont="1" applyBorder="1"/>
    <xf numFmtId="0" fontId="1" fillId="0" borderId="11" xfId="0" applyFont="1" applyBorder="1"/>
    <xf numFmtId="3" fontId="1" fillId="0" borderId="11" xfId="0" applyNumberFormat="1" applyFont="1" applyBorder="1"/>
    <xf numFmtId="0" fontId="1" fillId="0" borderId="13" xfId="0" applyFont="1" applyBorder="1"/>
    <xf numFmtId="3" fontId="1" fillId="0" borderId="13" xfId="0" applyNumberFormat="1" applyFont="1" applyBorder="1"/>
    <xf numFmtId="3" fontId="1" fillId="0" borderId="1" xfId="0" applyNumberFormat="1" applyFont="1" applyBorder="1"/>
    <xf numFmtId="3" fontId="1" fillId="0" borderId="2" xfId="0" applyNumberFormat="1" applyFont="1" applyBorder="1"/>
    <xf numFmtId="0" fontId="1" fillId="0" borderId="4" xfId="0" applyFont="1" applyBorder="1"/>
    <xf numFmtId="3" fontId="1" fillId="0" borderId="4" xfId="0" applyNumberFormat="1" applyFont="1" applyBorder="1"/>
    <xf numFmtId="0" fontId="1" fillId="0" borderId="1" xfId="0" applyFont="1" applyBorder="1" applyAlignment="1">
      <alignment horizontal="right"/>
    </xf>
  </cellXfs>
  <cellStyles count="2">
    <cellStyle name="Normal" xfId="0" builtinId="0"/>
    <cellStyle name="Normal 2" xfId="1" xr:uid="{B8B0CCE9-E7C2-4E3B-97AE-E78A3CB97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9C11-A639-4F60-8D07-DF5E97D48066}">
  <dimension ref="A1:H239"/>
  <sheetViews>
    <sheetView tabSelected="1" topLeftCell="A64" workbookViewId="0">
      <selection activeCell="N19" sqref="N19"/>
    </sheetView>
  </sheetViews>
  <sheetFormatPr defaultRowHeight="15" customHeight="1" x14ac:dyDescent="0.3"/>
  <cols>
    <col min="1" max="1" width="18.33203125" customWidth="1"/>
    <col min="2" max="2" width="13.5546875" customWidth="1"/>
    <col min="3" max="3" width="14.6640625" customWidth="1"/>
    <col min="4" max="4" width="13.109375" customWidth="1"/>
    <col min="5" max="5" width="14.33203125" customWidth="1"/>
    <col min="6" max="6" width="11.88671875" customWidth="1"/>
    <col min="7" max="7" width="11.5546875" customWidth="1"/>
    <col min="8" max="8" width="17.33203125" customWidth="1"/>
  </cols>
  <sheetData>
    <row r="1" spans="1:8" ht="14.4" x14ac:dyDescent="0.3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0" t="s">
        <v>5</v>
      </c>
      <c r="G1" s="20" t="s">
        <v>6</v>
      </c>
      <c r="H1" s="23" t="s">
        <v>7</v>
      </c>
    </row>
    <row r="2" spans="1:8" ht="14.4" x14ac:dyDescent="0.3">
      <c r="A2" s="7" t="s">
        <v>8</v>
      </c>
      <c r="B2" s="19">
        <f>(RIGHT(TRIM(A2),4))*1</f>
        <v>1997</v>
      </c>
      <c r="C2" t="str">
        <f>IF(LEFT(A2,3)="Jan","Q1",IF(LEFT(A2,3)="Apr","Q2",IF(LEFT(A2,3)="Jul","Q3",IF(LEFT(A2,3)="Oct","Q4",""))))</f>
        <v>Q1</v>
      </c>
      <c r="D2" s="25">
        <v>26245</v>
      </c>
      <c r="E2" s="26">
        <v>24323</v>
      </c>
      <c r="F2" s="25">
        <v>1921</v>
      </c>
      <c r="G2" s="19">
        <v>638</v>
      </c>
      <c r="H2" s="27">
        <v>1283</v>
      </c>
    </row>
    <row r="3" spans="1:8" ht="14.4" x14ac:dyDescent="0.3">
      <c r="A3" s="7" t="s">
        <v>9</v>
      </c>
      <c r="B3" s="19">
        <f t="shared" ref="B3:B66" si="0">(RIGHT(TRIM(A3),4))*1</f>
        <v>1997</v>
      </c>
      <c r="C3" t="str">
        <f t="shared" ref="C3:C66" si="1">IF(LEFT(A3,3)="Jan","Q1",IF(LEFT(A3,3)="Apr","Q2",IF(LEFT(A3,3)="Jul","Q3",IF(LEFT(A3,3)="Oct","Q4",""))))</f>
        <v>Q2</v>
      </c>
      <c r="D3" s="25">
        <v>26444</v>
      </c>
      <c r="E3" s="26">
        <v>24468</v>
      </c>
      <c r="F3" s="25">
        <v>1975</v>
      </c>
      <c r="G3" s="19">
        <v>652</v>
      </c>
      <c r="H3" s="27">
        <v>1323</v>
      </c>
    </row>
    <row r="4" spans="1:8" ht="14.4" x14ac:dyDescent="0.3">
      <c r="A4" s="7" t="s">
        <v>10</v>
      </c>
      <c r="B4" s="19">
        <f t="shared" si="0"/>
        <v>1997</v>
      </c>
      <c r="C4" t="str">
        <f t="shared" si="1"/>
        <v>Q3</v>
      </c>
      <c r="D4" s="25">
        <v>26707</v>
      </c>
      <c r="E4" s="26">
        <v>24715</v>
      </c>
      <c r="F4" s="25">
        <v>1991</v>
      </c>
      <c r="G4" s="19">
        <v>656</v>
      </c>
      <c r="H4" s="27">
        <v>1335</v>
      </c>
    </row>
    <row r="5" spans="1:8" ht="14.4" x14ac:dyDescent="0.3">
      <c r="A5" s="7" t="s">
        <v>11</v>
      </c>
      <c r="B5" s="19">
        <f t="shared" si="0"/>
        <v>1997</v>
      </c>
      <c r="C5" t="str">
        <f t="shared" si="1"/>
        <v>Q4</v>
      </c>
      <c r="D5" s="25">
        <v>26695</v>
      </c>
      <c r="E5" s="26">
        <v>24681</v>
      </c>
      <c r="F5" s="25">
        <v>2013</v>
      </c>
      <c r="G5" s="19">
        <v>660</v>
      </c>
      <c r="H5" s="27">
        <v>1353</v>
      </c>
    </row>
    <row r="6" spans="1:8" ht="14.4" x14ac:dyDescent="0.3">
      <c r="A6" s="7" t="s">
        <v>12</v>
      </c>
      <c r="B6" s="19">
        <f t="shared" si="0"/>
        <v>1998</v>
      </c>
      <c r="C6" t="str">
        <f t="shared" si="1"/>
        <v>Q1</v>
      </c>
      <c r="D6" s="25">
        <v>26546</v>
      </c>
      <c r="E6" s="26">
        <v>24505</v>
      </c>
      <c r="F6" s="25">
        <v>2041</v>
      </c>
      <c r="G6" s="19">
        <v>680</v>
      </c>
      <c r="H6" s="27">
        <v>1360</v>
      </c>
    </row>
    <row r="7" spans="1:8" ht="14.4" x14ac:dyDescent="0.3">
      <c r="A7" s="7" t="s">
        <v>13</v>
      </c>
      <c r="B7" s="19">
        <f t="shared" si="0"/>
        <v>1998</v>
      </c>
      <c r="C7" t="str">
        <f t="shared" si="1"/>
        <v>Q2</v>
      </c>
      <c r="D7" s="25">
        <v>26642</v>
      </c>
      <c r="E7" s="26">
        <v>24567</v>
      </c>
      <c r="F7" s="25">
        <v>2073</v>
      </c>
      <c r="G7" s="19">
        <v>707</v>
      </c>
      <c r="H7" s="27">
        <v>1367</v>
      </c>
    </row>
    <row r="8" spans="1:8" ht="14.4" x14ac:dyDescent="0.3">
      <c r="A8" s="7" t="s">
        <v>14</v>
      </c>
      <c r="B8" s="19">
        <f t="shared" si="0"/>
        <v>1998</v>
      </c>
      <c r="C8" t="str">
        <f t="shared" si="1"/>
        <v>Q3</v>
      </c>
      <c r="D8" s="25">
        <v>26969</v>
      </c>
      <c r="E8" s="26">
        <v>24902</v>
      </c>
      <c r="F8" s="25">
        <v>2065</v>
      </c>
      <c r="G8" s="19">
        <v>698</v>
      </c>
      <c r="H8" s="27">
        <v>1367</v>
      </c>
    </row>
    <row r="9" spans="1:8" ht="14.4" x14ac:dyDescent="0.3">
      <c r="A9" s="7" t="s">
        <v>15</v>
      </c>
      <c r="B9" s="19">
        <f t="shared" si="0"/>
        <v>1998</v>
      </c>
      <c r="C9" t="str">
        <f t="shared" si="1"/>
        <v>Q4</v>
      </c>
      <c r="D9" s="25">
        <v>27017</v>
      </c>
      <c r="E9" s="26">
        <v>24877</v>
      </c>
      <c r="F9" s="25">
        <v>2140</v>
      </c>
      <c r="G9" s="19">
        <v>715</v>
      </c>
      <c r="H9" s="27">
        <v>1425</v>
      </c>
    </row>
    <row r="10" spans="1:8" ht="14.4" x14ac:dyDescent="0.3">
      <c r="A10" s="7" t="s">
        <v>16</v>
      </c>
      <c r="B10" s="19">
        <f t="shared" si="0"/>
        <v>1999</v>
      </c>
      <c r="C10" t="str">
        <f t="shared" si="1"/>
        <v>Q1</v>
      </c>
      <c r="D10" s="25">
        <v>26909</v>
      </c>
      <c r="E10" s="26">
        <v>24777</v>
      </c>
      <c r="F10" s="25">
        <v>2130</v>
      </c>
      <c r="G10" s="19">
        <v>724</v>
      </c>
      <c r="H10" s="27">
        <v>1406</v>
      </c>
    </row>
    <row r="11" spans="1:8" ht="14.4" x14ac:dyDescent="0.3">
      <c r="A11" s="7" t="s">
        <v>17</v>
      </c>
      <c r="B11" s="19">
        <f t="shared" si="0"/>
        <v>1999</v>
      </c>
      <c r="C11" t="str">
        <f t="shared" si="1"/>
        <v>Q2</v>
      </c>
      <c r="D11" s="25">
        <v>27023</v>
      </c>
      <c r="E11" s="26">
        <v>24922</v>
      </c>
      <c r="F11" s="25">
        <v>2100</v>
      </c>
      <c r="G11" s="19">
        <v>689</v>
      </c>
      <c r="H11" s="27">
        <v>1411</v>
      </c>
    </row>
    <row r="12" spans="1:8" ht="14.4" x14ac:dyDescent="0.3">
      <c r="A12" s="7" t="s">
        <v>18</v>
      </c>
      <c r="B12" s="19">
        <f t="shared" si="0"/>
        <v>1999</v>
      </c>
      <c r="C12" t="str">
        <f t="shared" si="1"/>
        <v>Q3</v>
      </c>
      <c r="D12" s="25">
        <v>27351</v>
      </c>
      <c r="E12" s="26">
        <v>25236</v>
      </c>
      <c r="F12" s="25">
        <v>2113</v>
      </c>
      <c r="G12" s="19">
        <v>682</v>
      </c>
      <c r="H12" s="27">
        <v>1431</v>
      </c>
    </row>
    <row r="13" spans="1:8" ht="14.4" x14ac:dyDescent="0.3">
      <c r="A13" s="7" t="s">
        <v>19</v>
      </c>
      <c r="B13" s="19">
        <f t="shared" si="0"/>
        <v>1999</v>
      </c>
      <c r="C13" t="str">
        <f t="shared" si="1"/>
        <v>Q4</v>
      </c>
      <c r="D13" s="25">
        <v>27385</v>
      </c>
      <c r="E13" s="26">
        <v>25263</v>
      </c>
      <c r="F13" s="25">
        <v>2119</v>
      </c>
      <c r="G13" s="19">
        <v>694</v>
      </c>
      <c r="H13" s="27">
        <v>1425</v>
      </c>
    </row>
    <row r="14" spans="1:8" ht="14.4" x14ac:dyDescent="0.3">
      <c r="A14" s="7" t="s">
        <v>20</v>
      </c>
      <c r="B14" s="19">
        <f t="shared" si="0"/>
        <v>2000</v>
      </c>
      <c r="C14" t="str">
        <f t="shared" si="1"/>
        <v>Q1</v>
      </c>
      <c r="D14" s="25">
        <v>27239</v>
      </c>
      <c r="E14" s="26">
        <v>25102</v>
      </c>
      <c r="F14" s="25">
        <v>2135</v>
      </c>
      <c r="G14" s="19">
        <v>707</v>
      </c>
      <c r="H14" s="27">
        <v>1427</v>
      </c>
    </row>
    <row r="15" spans="1:8" ht="14.4" x14ac:dyDescent="0.3">
      <c r="A15" s="7" t="s">
        <v>21</v>
      </c>
      <c r="B15" s="19">
        <f t="shared" si="0"/>
        <v>2000</v>
      </c>
      <c r="C15" t="str">
        <f t="shared" si="1"/>
        <v>Q2</v>
      </c>
      <c r="D15" s="25">
        <v>27399</v>
      </c>
      <c r="E15" s="26">
        <v>25199</v>
      </c>
      <c r="F15" s="25">
        <v>2198</v>
      </c>
      <c r="G15" s="19">
        <v>698</v>
      </c>
      <c r="H15" s="27">
        <v>1500</v>
      </c>
    </row>
    <row r="16" spans="1:8" ht="14.4" x14ac:dyDescent="0.3">
      <c r="A16" s="7" t="s">
        <v>22</v>
      </c>
      <c r="B16" s="19">
        <f t="shared" si="0"/>
        <v>2000</v>
      </c>
      <c r="C16" t="str">
        <f t="shared" si="1"/>
        <v>Q3</v>
      </c>
      <c r="D16" s="25">
        <v>27685</v>
      </c>
      <c r="E16" s="26">
        <v>25447</v>
      </c>
      <c r="F16" s="25">
        <v>2236</v>
      </c>
      <c r="G16" s="19">
        <v>707</v>
      </c>
      <c r="H16" s="27">
        <v>1530</v>
      </c>
    </row>
    <row r="17" spans="1:8" ht="14.4" x14ac:dyDescent="0.3">
      <c r="A17" s="7" t="s">
        <v>23</v>
      </c>
      <c r="B17" s="19">
        <f t="shared" si="0"/>
        <v>2000</v>
      </c>
      <c r="C17" t="str">
        <f t="shared" si="1"/>
        <v>Q4</v>
      </c>
      <c r="D17" s="25">
        <v>27611</v>
      </c>
      <c r="E17" s="26">
        <v>25340</v>
      </c>
      <c r="F17" s="25">
        <v>2269</v>
      </c>
      <c r="G17" s="19">
        <v>730</v>
      </c>
      <c r="H17" s="27">
        <v>1540</v>
      </c>
    </row>
    <row r="18" spans="1:8" ht="14.4" x14ac:dyDescent="0.3">
      <c r="A18" s="7" t="s">
        <v>24</v>
      </c>
      <c r="B18" s="19">
        <f t="shared" si="0"/>
        <v>2001</v>
      </c>
      <c r="C18" t="str">
        <f t="shared" si="1"/>
        <v>Q1</v>
      </c>
      <c r="D18" s="25">
        <v>27505</v>
      </c>
      <c r="E18" s="26">
        <v>25229</v>
      </c>
      <c r="F18" s="25">
        <v>2272</v>
      </c>
      <c r="G18" s="19">
        <v>726</v>
      </c>
      <c r="H18" s="27">
        <v>1546</v>
      </c>
    </row>
    <row r="19" spans="1:8" ht="14.4" x14ac:dyDescent="0.3">
      <c r="A19" s="7" t="s">
        <v>25</v>
      </c>
      <c r="B19" s="19">
        <f t="shared" si="0"/>
        <v>2001</v>
      </c>
      <c r="C19" t="str">
        <f t="shared" si="1"/>
        <v>Q2</v>
      </c>
      <c r="D19" s="25">
        <v>27643</v>
      </c>
      <c r="E19" s="26">
        <v>25350</v>
      </c>
      <c r="F19" s="25">
        <v>2286</v>
      </c>
      <c r="G19" s="19">
        <v>729</v>
      </c>
      <c r="H19" s="27">
        <v>1557</v>
      </c>
    </row>
    <row r="20" spans="1:8" ht="14.4" x14ac:dyDescent="0.3">
      <c r="A20" s="7" t="s">
        <v>26</v>
      </c>
      <c r="B20" s="19">
        <f t="shared" si="0"/>
        <v>2001</v>
      </c>
      <c r="C20" t="str">
        <f t="shared" si="1"/>
        <v>Q3</v>
      </c>
      <c r="D20" s="25">
        <v>27838</v>
      </c>
      <c r="E20" s="26">
        <v>25510</v>
      </c>
      <c r="F20" s="25">
        <v>2326</v>
      </c>
      <c r="G20" s="19">
        <v>717</v>
      </c>
      <c r="H20" s="27">
        <v>1610</v>
      </c>
    </row>
    <row r="21" spans="1:8" ht="14.4" x14ac:dyDescent="0.3">
      <c r="A21" s="7" t="s">
        <v>27</v>
      </c>
      <c r="B21" s="19">
        <f t="shared" si="0"/>
        <v>2001</v>
      </c>
      <c r="C21" t="str">
        <f t="shared" si="1"/>
        <v>Q4</v>
      </c>
      <c r="D21" s="25">
        <v>27860</v>
      </c>
      <c r="E21" s="26">
        <v>25498</v>
      </c>
      <c r="F21" s="25">
        <v>2359</v>
      </c>
      <c r="G21" s="19">
        <v>727</v>
      </c>
      <c r="H21" s="27">
        <v>1632</v>
      </c>
    </row>
    <row r="22" spans="1:8" ht="14.4" x14ac:dyDescent="0.3">
      <c r="A22" s="7" t="s">
        <v>28</v>
      </c>
      <c r="B22" s="19">
        <f t="shared" si="0"/>
        <v>2002</v>
      </c>
      <c r="C22" t="str">
        <f t="shared" si="1"/>
        <v>Q1</v>
      </c>
      <c r="D22" s="25">
        <v>27688</v>
      </c>
      <c r="E22" s="26">
        <v>25326</v>
      </c>
      <c r="F22" s="25">
        <v>2361</v>
      </c>
      <c r="G22" s="19">
        <v>732</v>
      </c>
      <c r="H22" s="27">
        <v>1629</v>
      </c>
    </row>
    <row r="23" spans="1:8" ht="14.4" x14ac:dyDescent="0.3">
      <c r="A23" s="7" t="s">
        <v>29</v>
      </c>
      <c r="B23" s="19">
        <f t="shared" si="0"/>
        <v>2002</v>
      </c>
      <c r="C23" t="str">
        <f t="shared" si="1"/>
        <v>Q2</v>
      </c>
      <c r="D23" s="25">
        <v>27873</v>
      </c>
      <c r="E23" s="26">
        <v>25434</v>
      </c>
      <c r="F23" s="25">
        <v>2436</v>
      </c>
      <c r="G23" s="19">
        <v>724</v>
      </c>
      <c r="H23" s="27">
        <v>1712</v>
      </c>
    </row>
    <row r="24" spans="1:8" ht="14.4" x14ac:dyDescent="0.3">
      <c r="A24" s="7" t="s">
        <v>30</v>
      </c>
      <c r="B24" s="19">
        <f t="shared" si="0"/>
        <v>2002</v>
      </c>
      <c r="C24" t="str">
        <f t="shared" si="1"/>
        <v>Q3</v>
      </c>
      <c r="D24" s="25">
        <v>28051</v>
      </c>
      <c r="E24" s="26">
        <v>25550</v>
      </c>
      <c r="F24" s="25">
        <v>2499</v>
      </c>
      <c r="G24" s="19">
        <v>741</v>
      </c>
      <c r="H24" s="27">
        <v>1758</v>
      </c>
    </row>
    <row r="25" spans="1:8" ht="14.4" x14ac:dyDescent="0.3">
      <c r="A25" s="7" t="s">
        <v>31</v>
      </c>
      <c r="B25" s="19">
        <f t="shared" si="0"/>
        <v>2002</v>
      </c>
      <c r="C25" t="str">
        <f t="shared" si="1"/>
        <v>Q4</v>
      </c>
      <c r="D25" s="25">
        <v>28164</v>
      </c>
      <c r="E25" s="26">
        <v>25629</v>
      </c>
      <c r="F25" s="25">
        <v>2532</v>
      </c>
      <c r="G25" s="19">
        <v>756</v>
      </c>
      <c r="H25" s="27">
        <v>1776</v>
      </c>
    </row>
    <row r="26" spans="1:8" ht="14.4" x14ac:dyDescent="0.3">
      <c r="A26" s="7" t="s">
        <v>32</v>
      </c>
      <c r="B26" s="19">
        <f t="shared" si="0"/>
        <v>2003</v>
      </c>
      <c r="C26" t="str">
        <f t="shared" si="1"/>
        <v>Q1</v>
      </c>
      <c r="D26" s="25">
        <v>28002</v>
      </c>
      <c r="E26" s="26">
        <v>25476</v>
      </c>
      <c r="F26" s="25">
        <v>2525</v>
      </c>
      <c r="G26" s="19">
        <v>758</v>
      </c>
      <c r="H26" s="27">
        <v>1767</v>
      </c>
    </row>
    <row r="27" spans="1:8" ht="14.4" x14ac:dyDescent="0.3">
      <c r="A27" s="7" t="s">
        <v>33</v>
      </c>
      <c r="B27" s="19">
        <f t="shared" si="0"/>
        <v>2003</v>
      </c>
      <c r="C27" t="str">
        <f t="shared" si="1"/>
        <v>Q2</v>
      </c>
      <c r="D27" s="25">
        <v>28166</v>
      </c>
      <c r="E27" s="26">
        <v>25588</v>
      </c>
      <c r="F27" s="25">
        <v>2576</v>
      </c>
      <c r="G27" s="19">
        <v>763</v>
      </c>
      <c r="H27" s="27">
        <v>1814</v>
      </c>
    </row>
    <row r="28" spans="1:8" ht="14.4" x14ac:dyDescent="0.3">
      <c r="A28" s="7" t="s">
        <v>34</v>
      </c>
      <c r="B28" s="19">
        <f t="shared" si="0"/>
        <v>2003</v>
      </c>
      <c r="C28" t="str">
        <f t="shared" si="1"/>
        <v>Q3</v>
      </c>
      <c r="D28" s="25">
        <v>28366</v>
      </c>
      <c r="E28" s="26">
        <v>25770</v>
      </c>
      <c r="F28" s="25">
        <v>2593</v>
      </c>
      <c r="G28" s="19">
        <v>736</v>
      </c>
      <c r="H28" s="27">
        <v>1857</v>
      </c>
    </row>
    <row r="29" spans="1:8" ht="14.4" x14ac:dyDescent="0.3">
      <c r="A29" s="7" t="s">
        <v>35</v>
      </c>
      <c r="B29" s="19">
        <f t="shared" si="0"/>
        <v>2003</v>
      </c>
      <c r="C29" t="str">
        <f t="shared" si="1"/>
        <v>Q4</v>
      </c>
      <c r="D29" s="25">
        <v>28358</v>
      </c>
      <c r="E29" s="26">
        <v>25792</v>
      </c>
      <c r="F29" s="25">
        <v>2564</v>
      </c>
      <c r="G29" s="19">
        <v>752</v>
      </c>
      <c r="H29" s="27">
        <v>1812</v>
      </c>
    </row>
    <row r="30" spans="1:8" ht="14.4" x14ac:dyDescent="0.3">
      <c r="A30" s="7" t="s">
        <v>36</v>
      </c>
      <c r="B30" s="19">
        <f t="shared" si="0"/>
        <v>2004</v>
      </c>
      <c r="C30" t="str">
        <f t="shared" si="1"/>
        <v>Q1</v>
      </c>
      <c r="D30" s="25">
        <v>28371</v>
      </c>
      <c r="E30" s="26">
        <v>25779</v>
      </c>
      <c r="F30" s="25">
        <v>2593</v>
      </c>
      <c r="G30" s="19">
        <v>746</v>
      </c>
      <c r="H30" s="27">
        <v>1847</v>
      </c>
    </row>
    <row r="31" spans="1:8" ht="14.4" x14ac:dyDescent="0.3">
      <c r="A31" s="7" t="s">
        <v>37</v>
      </c>
      <c r="B31" s="19">
        <f t="shared" si="0"/>
        <v>2004</v>
      </c>
      <c r="C31" t="str">
        <f t="shared" si="1"/>
        <v>Q2</v>
      </c>
      <c r="D31" s="25">
        <v>28407</v>
      </c>
      <c r="E31" s="26">
        <v>25722</v>
      </c>
      <c r="F31" s="25">
        <v>2684</v>
      </c>
      <c r="G31" s="19">
        <v>771</v>
      </c>
      <c r="H31" s="27">
        <v>1913</v>
      </c>
    </row>
    <row r="32" spans="1:8" ht="14.4" x14ac:dyDescent="0.3">
      <c r="A32" s="7" t="s">
        <v>38</v>
      </c>
      <c r="B32" s="19">
        <f t="shared" si="0"/>
        <v>2004</v>
      </c>
      <c r="C32" t="str">
        <f t="shared" si="1"/>
        <v>Q3</v>
      </c>
      <c r="D32" s="25">
        <v>28627</v>
      </c>
      <c r="E32" s="26">
        <v>25891</v>
      </c>
      <c r="F32" s="25">
        <v>2733</v>
      </c>
      <c r="G32" s="19">
        <v>791</v>
      </c>
      <c r="H32" s="27">
        <v>1942</v>
      </c>
    </row>
    <row r="33" spans="1:8" ht="14.4" x14ac:dyDescent="0.3">
      <c r="A33" s="7" t="s">
        <v>39</v>
      </c>
      <c r="B33" s="19">
        <f t="shared" si="0"/>
        <v>2004</v>
      </c>
      <c r="C33" t="str">
        <f t="shared" si="1"/>
        <v>Q4</v>
      </c>
      <c r="D33" s="25">
        <v>28728</v>
      </c>
      <c r="E33" s="26">
        <v>25910</v>
      </c>
      <c r="F33" s="25">
        <v>2817</v>
      </c>
      <c r="G33" s="19">
        <v>827</v>
      </c>
      <c r="H33" s="27">
        <v>1990</v>
      </c>
    </row>
    <row r="34" spans="1:8" ht="14.4" x14ac:dyDescent="0.3">
      <c r="A34" s="7" t="s">
        <v>40</v>
      </c>
      <c r="B34" s="19">
        <f t="shared" si="0"/>
        <v>2005</v>
      </c>
      <c r="C34" t="str">
        <f t="shared" si="1"/>
        <v>Q1</v>
      </c>
      <c r="D34" s="25">
        <v>28705</v>
      </c>
      <c r="E34" s="26">
        <v>25871</v>
      </c>
      <c r="F34" s="25">
        <v>2833</v>
      </c>
      <c r="G34" s="19">
        <v>829</v>
      </c>
      <c r="H34" s="27">
        <v>2004</v>
      </c>
    </row>
    <row r="35" spans="1:8" ht="14.4" x14ac:dyDescent="0.3">
      <c r="A35" s="7" t="s">
        <v>41</v>
      </c>
      <c r="B35" s="19">
        <f t="shared" si="0"/>
        <v>2005</v>
      </c>
      <c r="C35" t="str">
        <f t="shared" si="1"/>
        <v>Q2</v>
      </c>
      <c r="D35" s="25">
        <v>28735</v>
      </c>
      <c r="E35" s="26">
        <v>25885</v>
      </c>
      <c r="F35" s="25">
        <v>2844</v>
      </c>
      <c r="G35" s="19">
        <v>851</v>
      </c>
      <c r="H35" s="27">
        <v>1993</v>
      </c>
    </row>
    <row r="36" spans="1:8" ht="14.4" x14ac:dyDescent="0.3">
      <c r="A36" s="7" t="s">
        <v>42</v>
      </c>
      <c r="B36" s="19">
        <f t="shared" si="0"/>
        <v>2005</v>
      </c>
      <c r="C36" t="str">
        <f t="shared" si="1"/>
        <v>Q3</v>
      </c>
      <c r="D36" s="25">
        <v>29035</v>
      </c>
      <c r="E36" s="26">
        <v>26088</v>
      </c>
      <c r="F36" s="25">
        <v>2945</v>
      </c>
      <c r="G36" s="19">
        <v>916</v>
      </c>
      <c r="H36" s="27">
        <v>2029</v>
      </c>
    </row>
    <row r="37" spans="1:8" ht="14.4" x14ac:dyDescent="0.3">
      <c r="A37" s="7" t="s">
        <v>43</v>
      </c>
      <c r="B37" s="19">
        <f t="shared" si="0"/>
        <v>2005</v>
      </c>
      <c r="C37" t="str">
        <f t="shared" si="1"/>
        <v>Q4</v>
      </c>
      <c r="D37" s="25">
        <v>28938</v>
      </c>
      <c r="E37" s="26">
        <v>25916</v>
      </c>
      <c r="F37" s="25">
        <v>3021</v>
      </c>
      <c r="G37" s="19">
        <v>940</v>
      </c>
      <c r="H37" s="27">
        <v>2081</v>
      </c>
    </row>
    <row r="38" spans="1:8" ht="14.4" x14ac:dyDescent="0.3">
      <c r="A38" s="7" t="s">
        <v>44</v>
      </c>
      <c r="B38" s="19">
        <f t="shared" si="0"/>
        <v>2006</v>
      </c>
      <c r="C38" t="str">
        <f t="shared" si="1"/>
        <v>Q1</v>
      </c>
      <c r="D38" s="25">
        <v>28966</v>
      </c>
      <c r="E38" s="26">
        <v>25850</v>
      </c>
      <c r="F38" s="25">
        <v>3114</v>
      </c>
      <c r="G38" s="19">
        <v>975</v>
      </c>
      <c r="H38" s="27">
        <v>2139</v>
      </c>
    </row>
    <row r="39" spans="1:8" ht="14.4" x14ac:dyDescent="0.3">
      <c r="A39" s="7" t="s">
        <v>45</v>
      </c>
      <c r="B39" s="19">
        <f t="shared" si="0"/>
        <v>2006</v>
      </c>
      <c r="C39" t="str">
        <f t="shared" si="1"/>
        <v>Q2</v>
      </c>
      <c r="D39" s="25">
        <v>29032</v>
      </c>
      <c r="E39" s="26">
        <v>25806</v>
      </c>
      <c r="F39" s="25">
        <v>3224</v>
      </c>
      <c r="G39" s="19">
        <v>997</v>
      </c>
      <c r="H39" s="27">
        <v>2227</v>
      </c>
    </row>
    <row r="40" spans="1:8" ht="14.4" x14ac:dyDescent="0.3">
      <c r="A40" s="7" t="s">
        <v>46</v>
      </c>
      <c r="B40" s="19">
        <f t="shared" si="0"/>
        <v>2006</v>
      </c>
      <c r="C40" t="str">
        <f t="shared" si="1"/>
        <v>Q3</v>
      </c>
      <c r="D40" s="25">
        <v>29289</v>
      </c>
      <c r="E40" s="26">
        <v>26010</v>
      </c>
      <c r="F40" s="25">
        <v>3273</v>
      </c>
      <c r="G40" s="25">
        <v>1019</v>
      </c>
      <c r="H40" s="27">
        <v>2254</v>
      </c>
    </row>
    <row r="41" spans="1:8" ht="14.4" x14ac:dyDescent="0.3">
      <c r="A41" s="7" t="s">
        <v>47</v>
      </c>
      <c r="B41" s="19">
        <f t="shared" si="0"/>
        <v>2006</v>
      </c>
      <c r="C41" t="str">
        <f t="shared" si="1"/>
        <v>Q4</v>
      </c>
      <c r="D41" s="25">
        <v>29276</v>
      </c>
      <c r="E41" s="26">
        <v>25929</v>
      </c>
      <c r="F41" s="25">
        <v>3341</v>
      </c>
      <c r="G41" s="25">
        <v>1076</v>
      </c>
      <c r="H41" s="27">
        <v>2264</v>
      </c>
    </row>
    <row r="42" spans="1:8" ht="14.4" x14ac:dyDescent="0.3">
      <c r="A42" s="7" t="s">
        <v>48</v>
      </c>
      <c r="B42" s="19">
        <f t="shared" si="0"/>
        <v>2007</v>
      </c>
      <c r="C42" t="str">
        <f t="shared" si="1"/>
        <v>Q1</v>
      </c>
      <c r="D42" s="25">
        <v>29108</v>
      </c>
      <c r="E42" s="26">
        <v>25728</v>
      </c>
      <c r="F42" s="25">
        <v>3373</v>
      </c>
      <c r="G42" s="25">
        <v>1084</v>
      </c>
      <c r="H42" s="27">
        <v>2289</v>
      </c>
    </row>
    <row r="43" spans="1:8" ht="14.4" x14ac:dyDescent="0.3">
      <c r="A43" s="7" t="s">
        <v>49</v>
      </c>
      <c r="B43" s="19">
        <f t="shared" si="0"/>
        <v>2007</v>
      </c>
      <c r="C43" t="str">
        <f t="shared" si="1"/>
        <v>Q2</v>
      </c>
      <c r="D43" s="25">
        <v>29242</v>
      </c>
      <c r="E43" s="26">
        <v>25729</v>
      </c>
      <c r="F43" s="25">
        <v>3502</v>
      </c>
      <c r="G43" s="25">
        <v>1189</v>
      </c>
      <c r="H43" s="27">
        <v>2314</v>
      </c>
    </row>
    <row r="44" spans="1:8" ht="14.4" x14ac:dyDescent="0.3">
      <c r="A44" s="7" t="s">
        <v>50</v>
      </c>
      <c r="B44" s="19">
        <f t="shared" si="0"/>
        <v>2007</v>
      </c>
      <c r="C44" t="str">
        <f t="shared" si="1"/>
        <v>Q3</v>
      </c>
      <c r="D44" s="25">
        <v>29525</v>
      </c>
      <c r="E44" s="26">
        <v>25934</v>
      </c>
      <c r="F44" s="25">
        <v>3583</v>
      </c>
      <c r="G44" s="25">
        <v>1191</v>
      </c>
      <c r="H44" s="27">
        <v>2392</v>
      </c>
    </row>
    <row r="45" spans="1:8" ht="14.4" x14ac:dyDescent="0.3">
      <c r="A45" s="7" t="s">
        <v>51</v>
      </c>
      <c r="B45" s="19">
        <f t="shared" si="0"/>
        <v>2007</v>
      </c>
      <c r="C45" t="str">
        <f t="shared" si="1"/>
        <v>Q4</v>
      </c>
      <c r="D45" s="25">
        <v>29640</v>
      </c>
      <c r="E45" s="26">
        <v>25994</v>
      </c>
      <c r="F45" s="25">
        <v>3643</v>
      </c>
      <c r="G45" s="25">
        <v>1240</v>
      </c>
      <c r="H45" s="27">
        <v>2403</v>
      </c>
    </row>
    <row r="46" spans="1:8" ht="14.4" x14ac:dyDescent="0.3">
      <c r="A46" s="7" t="s">
        <v>52</v>
      </c>
      <c r="B46" s="19">
        <f t="shared" si="0"/>
        <v>2008</v>
      </c>
      <c r="C46" t="str">
        <f t="shared" si="1"/>
        <v>Q1</v>
      </c>
      <c r="D46" s="25">
        <v>29596</v>
      </c>
      <c r="E46" s="26">
        <v>25873</v>
      </c>
      <c r="F46" s="25">
        <v>3722</v>
      </c>
      <c r="G46" s="25">
        <v>1306</v>
      </c>
      <c r="H46" s="27">
        <v>2415</v>
      </c>
    </row>
    <row r="47" spans="1:8" ht="14.4" x14ac:dyDescent="0.3">
      <c r="A47" s="7" t="s">
        <v>53</v>
      </c>
      <c r="B47" s="19">
        <f t="shared" si="0"/>
        <v>2008</v>
      </c>
      <c r="C47" t="str">
        <f t="shared" si="1"/>
        <v>Q2</v>
      </c>
      <c r="D47" s="25">
        <v>29637</v>
      </c>
      <c r="E47" s="26">
        <v>25879</v>
      </c>
      <c r="F47" s="25">
        <v>3756</v>
      </c>
      <c r="G47" s="25">
        <v>1298</v>
      </c>
      <c r="H47" s="27">
        <v>2458</v>
      </c>
    </row>
    <row r="48" spans="1:8" ht="14.4" x14ac:dyDescent="0.3">
      <c r="A48" s="7" t="s">
        <v>54</v>
      </c>
      <c r="B48" s="19">
        <f t="shared" si="0"/>
        <v>2008</v>
      </c>
      <c r="C48" t="str">
        <f t="shared" si="1"/>
        <v>Q3</v>
      </c>
      <c r="D48" s="25">
        <v>29685</v>
      </c>
      <c r="E48" s="26">
        <v>25906</v>
      </c>
      <c r="F48" s="25">
        <v>3773</v>
      </c>
      <c r="G48" s="25">
        <v>1274</v>
      </c>
      <c r="H48" s="27">
        <v>2499</v>
      </c>
    </row>
    <row r="49" spans="1:8" ht="14.4" x14ac:dyDescent="0.3">
      <c r="A49" s="7" t="s">
        <v>55</v>
      </c>
      <c r="B49" s="19">
        <f t="shared" si="0"/>
        <v>2008</v>
      </c>
      <c r="C49" t="str">
        <f t="shared" si="1"/>
        <v>Q4</v>
      </c>
      <c r="D49" s="25">
        <v>29593</v>
      </c>
      <c r="E49" s="26">
        <v>25716</v>
      </c>
      <c r="F49" s="25">
        <v>3868</v>
      </c>
      <c r="G49" s="25">
        <v>1275</v>
      </c>
      <c r="H49" s="27">
        <v>2593</v>
      </c>
    </row>
    <row r="50" spans="1:8" ht="14.4" x14ac:dyDescent="0.3">
      <c r="A50" s="7" t="s">
        <v>56</v>
      </c>
      <c r="B50" s="19">
        <f t="shared" si="0"/>
        <v>2009</v>
      </c>
      <c r="C50" t="str">
        <f t="shared" si="1"/>
        <v>Q1</v>
      </c>
      <c r="D50" s="25">
        <v>29277</v>
      </c>
      <c r="E50" s="26">
        <v>25411</v>
      </c>
      <c r="F50" s="25">
        <v>3857</v>
      </c>
      <c r="G50" s="25">
        <v>1314</v>
      </c>
      <c r="H50" s="27">
        <v>2543</v>
      </c>
    </row>
    <row r="51" spans="1:8" ht="14.4" x14ac:dyDescent="0.3">
      <c r="A51" s="7" t="s">
        <v>57</v>
      </c>
      <c r="B51" s="19">
        <f t="shared" si="0"/>
        <v>2009</v>
      </c>
      <c r="C51" t="str">
        <f t="shared" si="1"/>
        <v>Q2</v>
      </c>
      <c r="D51" s="25">
        <v>29003</v>
      </c>
      <c r="E51" s="26">
        <v>25215</v>
      </c>
      <c r="F51" s="25">
        <v>3784</v>
      </c>
      <c r="G51" s="25">
        <v>1299</v>
      </c>
      <c r="H51" s="27">
        <v>2485</v>
      </c>
    </row>
    <row r="52" spans="1:8" ht="14.4" x14ac:dyDescent="0.3">
      <c r="A52" s="7" t="s">
        <v>58</v>
      </c>
      <c r="B52" s="19">
        <f t="shared" si="0"/>
        <v>2009</v>
      </c>
      <c r="C52" t="str">
        <f t="shared" si="1"/>
        <v>Q3</v>
      </c>
      <c r="D52" s="25">
        <v>29170</v>
      </c>
      <c r="E52" s="26">
        <v>25421</v>
      </c>
      <c r="F52" s="25">
        <v>3738</v>
      </c>
      <c r="G52" s="25">
        <v>1290</v>
      </c>
      <c r="H52" s="27">
        <v>2448</v>
      </c>
    </row>
    <row r="53" spans="1:8" ht="14.4" x14ac:dyDescent="0.3">
      <c r="A53" s="7" t="s">
        <v>59</v>
      </c>
      <c r="B53" s="19">
        <f t="shared" si="0"/>
        <v>2009</v>
      </c>
      <c r="C53" t="str">
        <f t="shared" si="1"/>
        <v>Q4</v>
      </c>
      <c r="D53" s="25">
        <v>29167</v>
      </c>
      <c r="E53" s="26">
        <v>25385</v>
      </c>
      <c r="F53" s="25">
        <v>3775</v>
      </c>
      <c r="G53" s="25">
        <v>1257</v>
      </c>
      <c r="H53" s="27">
        <v>2518</v>
      </c>
    </row>
    <row r="54" spans="1:8" ht="14.4" x14ac:dyDescent="0.3">
      <c r="A54" s="7" t="s">
        <v>60</v>
      </c>
      <c r="B54" s="19">
        <f t="shared" si="0"/>
        <v>2010</v>
      </c>
      <c r="C54" t="str">
        <f t="shared" si="1"/>
        <v>Q1</v>
      </c>
      <c r="D54" s="25">
        <v>28924</v>
      </c>
      <c r="E54" s="26">
        <v>25170</v>
      </c>
      <c r="F54" s="25">
        <v>3749</v>
      </c>
      <c r="G54" s="25">
        <v>1278</v>
      </c>
      <c r="H54" s="27">
        <v>2471</v>
      </c>
    </row>
    <row r="55" spans="1:8" ht="14.4" x14ac:dyDescent="0.3">
      <c r="A55" s="7" t="s">
        <v>61</v>
      </c>
      <c r="B55" s="19">
        <f t="shared" si="0"/>
        <v>2010</v>
      </c>
      <c r="C55" t="str">
        <f t="shared" si="1"/>
        <v>Q2</v>
      </c>
      <c r="D55" s="25">
        <v>29110</v>
      </c>
      <c r="E55" s="26">
        <v>25202</v>
      </c>
      <c r="F55" s="25">
        <v>3901</v>
      </c>
      <c r="G55" s="25">
        <v>1373</v>
      </c>
      <c r="H55" s="27">
        <v>2528</v>
      </c>
    </row>
    <row r="56" spans="1:8" ht="14.4" x14ac:dyDescent="0.3">
      <c r="A56" s="7" t="s">
        <v>62</v>
      </c>
      <c r="B56" s="19">
        <f t="shared" si="0"/>
        <v>2010</v>
      </c>
      <c r="C56" t="str">
        <f t="shared" si="1"/>
        <v>Q3</v>
      </c>
      <c r="D56" s="25">
        <v>29484</v>
      </c>
      <c r="E56" s="26">
        <v>25537</v>
      </c>
      <c r="F56" s="25">
        <v>3944</v>
      </c>
      <c r="G56" s="25">
        <v>1389</v>
      </c>
      <c r="H56" s="27">
        <v>2555</v>
      </c>
    </row>
    <row r="57" spans="1:8" ht="14.4" x14ac:dyDescent="0.3">
      <c r="A57" s="7" t="s">
        <v>63</v>
      </c>
      <c r="B57" s="19">
        <f t="shared" si="0"/>
        <v>2010</v>
      </c>
      <c r="C57" t="str">
        <f t="shared" si="1"/>
        <v>Q4</v>
      </c>
      <c r="D57" s="25">
        <v>29390</v>
      </c>
      <c r="E57" s="26">
        <v>25434</v>
      </c>
      <c r="F57" s="25">
        <v>3951</v>
      </c>
      <c r="G57" s="25">
        <v>1386</v>
      </c>
      <c r="H57" s="27">
        <v>2565</v>
      </c>
    </row>
    <row r="58" spans="1:8" ht="14.4" x14ac:dyDescent="0.3">
      <c r="A58" s="7" t="s">
        <v>64</v>
      </c>
      <c r="B58" s="19">
        <f t="shared" si="0"/>
        <v>2011</v>
      </c>
      <c r="C58" t="str">
        <f t="shared" si="1"/>
        <v>Q1</v>
      </c>
      <c r="D58" s="25">
        <v>29350</v>
      </c>
      <c r="E58" s="26">
        <v>25253</v>
      </c>
      <c r="F58" s="25">
        <v>4088</v>
      </c>
      <c r="G58" s="25">
        <v>1490</v>
      </c>
      <c r="H58" s="27">
        <v>2598</v>
      </c>
    </row>
    <row r="59" spans="1:8" ht="14.4" x14ac:dyDescent="0.3">
      <c r="A59" s="7" t="s">
        <v>65</v>
      </c>
      <c r="B59" s="19">
        <f t="shared" si="0"/>
        <v>2011</v>
      </c>
      <c r="C59" t="str">
        <f t="shared" si="1"/>
        <v>Q2</v>
      </c>
      <c r="D59" s="25">
        <v>29367</v>
      </c>
      <c r="E59" s="26">
        <v>25156</v>
      </c>
      <c r="F59" s="25">
        <v>4203</v>
      </c>
      <c r="G59" s="25">
        <v>1523</v>
      </c>
      <c r="H59" s="27">
        <v>2680</v>
      </c>
    </row>
    <row r="60" spans="1:8" ht="14.4" x14ac:dyDescent="0.3">
      <c r="A60" s="7" t="s">
        <v>66</v>
      </c>
      <c r="B60" s="19">
        <f t="shared" si="0"/>
        <v>2011</v>
      </c>
      <c r="C60" t="str">
        <f t="shared" si="1"/>
        <v>Q3</v>
      </c>
      <c r="D60" s="25">
        <v>29376</v>
      </c>
      <c r="E60" s="26">
        <v>25235</v>
      </c>
      <c r="F60" s="25">
        <v>4131</v>
      </c>
      <c r="G60" s="25">
        <v>1471</v>
      </c>
      <c r="H60" s="27">
        <v>2659</v>
      </c>
    </row>
    <row r="61" spans="1:8" ht="14.4" x14ac:dyDescent="0.3">
      <c r="A61" s="7" t="s">
        <v>67</v>
      </c>
      <c r="B61" s="19">
        <f t="shared" si="0"/>
        <v>2011</v>
      </c>
      <c r="C61" t="str">
        <f t="shared" si="1"/>
        <v>Q4</v>
      </c>
      <c r="D61" s="25">
        <v>29405</v>
      </c>
      <c r="E61" s="26">
        <v>25226</v>
      </c>
      <c r="F61" s="25">
        <v>4168</v>
      </c>
      <c r="G61" s="25">
        <v>1513</v>
      </c>
      <c r="H61" s="27">
        <v>2654</v>
      </c>
    </row>
    <row r="62" spans="1:8" ht="14.4" x14ac:dyDescent="0.3">
      <c r="A62" s="7" t="s">
        <v>68</v>
      </c>
      <c r="B62" s="19">
        <f t="shared" si="0"/>
        <v>2012</v>
      </c>
      <c r="C62" t="str">
        <f t="shared" si="1"/>
        <v>Q1</v>
      </c>
      <c r="D62" s="25">
        <v>29365</v>
      </c>
      <c r="E62" s="26">
        <v>25255</v>
      </c>
      <c r="F62" s="25">
        <v>4104</v>
      </c>
      <c r="G62" s="25">
        <v>1547</v>
      </c>
      <c r="H62" s="27">
        <v>2557</v>
      </c>
    </row>
    <row r="63" spans="1:8" ht="14.4" x14ac:dyDescent="0.3">
      <c r="A63" s="7" t="s">
        <v>69</v>
      </c>
      <c r="B63" s="19">
        <f t="shared" si="0"/>
        <v>2012</v>
      </c>
      <c r="C63" t="str">
        <f t="shared" si="1"/>
        <v>Q2</v>
      </c>
      <c r="D63" s="25">
        <v>29587</v>
      </c>
      <c r="E63" s="26">
        <v>25319</v>
      </c>
      <c r="F63" s="25">
        <v>4259</v>
      </c>
      <c r="G63" s="25">
        <v>1582</v>
      </c>
      <c r="H63" s="27">
        <v>2677</v>
      </c>
    </row>
    <row r="64" spans="1:8" ht="14.4" x14ac:dyDescent="0.3">
      <c r="A64" s="7" t="s">
        <v>70</v>
      </c>
      <c r="B64" s="19">
        <f t="shared" si="0"/>
        <v>2012</v>
      </c>
      <c r="C64" t="str">
        <f t="shared" si="1"/>
        <v>Q3</v>
      </c>
      <c r="D64" s="25">
        <v>29851</v>
      </c>
      <c r="E64" s="26">
        <v>25519</v>
      </c>
      <c r="F64" s="25">
        <v>4327</v>
      </c>
      <c r="G64" s="25">
        <v>1553</v>
      </c>
      <c r="H64" s="27">
        <v>2774</v>
      </c>
    </row>
    <row r="65" spans="1:8" ht="14.4" x14ac:dyDescent="0.3">
      <c r="A65" s="7" t="s">
        <v>71</v>
      </c>
      <c r="B65" s="19">
        <f t="shared" si="0"/>
        <v>2012</v>
      </c>
      <c r="C65" t="str">
        <f t="shared" si="1"/>
        <v>Q4</v>
      </c>
      <c r="D65" s="25">
        <v>29974</v>
      </c>
      <c r="E65" s="26">
        <v>25586</v>
      </c>
      <c r="F65" s="25">
        <v>4380</v>
      </c>
      <c r="G65" s="25">
        <v>1601</v>
      </c>
      <c r="H65" s="27">
        <v>2779</v>
      </c>
    </row>
    <row r="66" spans="1:8" ht="14.4" x14ac:dyDescent="0.3">
      <c r="A66" s="7" t="s">
        <v>72</v>
      </c>
      <c r="B66" s="19">
        <f t="shared" si="0"/>
        <v>2013</v>
      </c>
      <c r="C66" t="str">
        <f t="shared" si="1"/>
        <v>Q1</v>
      </c>
      <c r="D66" s="25">
        <v>29750</v>
      </c>
      <c r="E66" s="26">
        <v>25415</v>
      </c>
      <c r="F66" s="25">
        <v>4322</v>
      </c>
      <c r="G66" s="25">
        <v>1592</v>
      </c>
      <c r="H66" s="27">
        <v>2730</v>
      </c>
    </row>
    <row r="67" spans="1:8" ht="14.4" x14ac:dyDescent="0.3">
      <c r="A67" s="7" t="s">
        <v>73</v>
      </c>
      <c r="B67" s="19">
        <f t="shared" ref="B67:B118" si="2">(RIGHT(TRIM(A67),4))*1</f>
        <v>2013</v>
      </c>
      <c r="C67" t="str">
        <f t="shared" ref="C67:C118" si="3">IF(LEFT(A67,3)="Jan","Q1",IF(LEFT(A67,3)="Apr","Q2",IF(LEFT(A67,3)="Jul","Q3",IF(LEFT(A67,3)="Oct","Q4",""))))</f>
        <v>Q2</v>
      </c>
      <c r="D67" s="25">
        <v>29861</v>
      </c>
      <c r="E67" s="26">
        <v>25391</v>
      </c>
      <c r="F67" s="25">
        <v>4457</v>
      </c>
      <c r="G67" s="25">
        <v>1665</v>
      </c>
      <c r="H67" s="27">
        <v>2792</v>
      </c>
    </row>
    <row r="68" spans="1:8" ht="14.4" x14ac:dyDescent="0.3">
      <c r="A68" s="7" t="s">
        <v>74</v>
      </c>
      <c r="B68" s="19">
        <f t="shared" si="2"/>
        <v>2013</v>
      </c>
      <c r="C68" t="str">
        <f t="shared" si="3"/>
        <v>Q3</v>
      </c>
      <c r="D68" s="25">
        <v>30194</v>
      </c>
      <c r="E68" s="26">
        <v>25740</v>
      </c>
      <c r="F68" s="25">
        <v>4440</v>
      </c>
      <c r="G68" s="25">
        <v>1639</v>
      </c>
      <c r="H68" s="27">
        <v>2801</v>
      </c>
    </row>
    <row r="69" spans="1:8" ht="14.4" x14ac:dyDescent="0.3">
      <c r="A69" s="7" t="s">
        <v>75</v>
      </c>
      <c r="B69" s="19">
        <f t="shared" si="2"/>
        <v>2013</v>
      </c>
      <c r="C69" t="str">
        <f t="shared" si="3"/>
        <v>Q4</v>
      </c>
      <c r="D69" s="25">
        <v>30362</v>
      </c>
      <c r="E69" s="26">
        <v>25822</v>
      </c>
      <c r="F69" s="25">
        <v>4523</v>
      </c>
      <c r="G69" s="25">
        <v>1723</v>
      </c>
      <c r="H69" s="27">
        <v>2800</v>
      </c>
    </row>
    <row r="70" spans="1:8" ht="14.4" x14ac:dyDescent="0.3">
      <c r="A70" s="7" t="s">
        <v>76</v>
      </c>
      <c r="B70" s="19">
        <f t="shared" si="2"/>
        <v>2014</v>
      </c>
      <c r="C70" t="str">
        <f t="shared" si="3"/>
        <v>Q1</v>
      </c>
      <c r="D70" s="25">
        <v>30446</v>
      </c>
      <c r="E70" s="26">
        <v>25809</v>
      </c>
      <c r="F70" s="25">
        <v>4622</v>
      </c>
      <c r="G70" s="25">
        <v>1763</v>
      </c>
      <c r="H70" s="27">
        <v>2859</v>
      </c>
    </row>
    <row r="71" spans="1:8" ht="14.4" x14ac:dyDescent="0.3">
      <c r="A71" s="7" t="s">
        <v>77</v>
      </c>
      <c r="B71" s="19">
        <f t="shared" si="2"/>
        <v>2014</v>
      </c>
      <c r="C71" t="str">
        <f t="shared" si="3"/>
        <v>Q2</v>
      </c>
      <c r="D71" s="25">
        <v>30628</v>
      </c>
      <c r="E71" s="26">
        <v>25828</v>
      </c>
      <c r="F71" s="25">
        <v>4798</v>
      </c>
      <c r="G71" s="25">
        <v>1852</v>
      </c>
      <c r="H71" s="27">
        <v>2945</v>
      </c>
    </row>
    <row r="72" spans="1:8" ht="14.4" x14ac:dyDescent="0.3">
      <c r="A72" s="7" t="s">
        <v>78</v>
      </c>
      <c r="B72" s="19">
        <f t="shared" si="2"/>
        <v>2014</v>
      </c>
      <c r="C72" t="str">
        <f t="shared" si="3"/>
        <v>Q3</v>
      </c>
      <c r="D72" s="25">
        <v>30918</v>
      </c>
      <c r="E72" s="26">
        <v>26148</v>
      </c>
      <c r="F72" s="25">
        <v>4764</v>
      </c>
      <c r="G72" s="25">
        <v>1824</v>
      </c>
      <c r="H72" s="27">
        <v>2941</v>
      </c>
    </row>
    <row r="73" spans="1:8" ht="14.4" x14ac:dyDescent="0.3">
      <c r="A73" s="7" t="s">
        <v>79</v>
      </c>
      <c r="B73" s="19">
        <f t="shared" si="2"/>
        <v>2014</v>
      </c>
      <c r="C73" t="str">
        <f t="shared" si="3"/>
        <v>Q4</v>
      </c>
      <c r="D73" s="25">
        <v>31018</v>
      </c>
      <c r="E73" s="26">
        <v>26193</v>
      </c>
      <c r="F73" s="25">
        <v>4802</v>
      </c>
      <c r="G73" s="25">
        <v>1907</v>
      </c>
      <c r="H73" s="27">
        <v>2895</v>
      </c>
    </row>
    <row r="74" spans="1:8" ht="14.4" x14ac:dyDescent="0.3">
      <c r="A74" s="7" t="s">
        <v>80</v>
      </c>
      <c r="B74" s="19">
        <f t="shared" si="2"/>
        <v>2015</v>
      </c>
      <c r="C74" t="str">
        <f t="shared" si="3"/>
        <v>Q1</v>
      </c>
      <c r="D74" s="25">
        <v>31074</v>
      </c>
      <c r="E74" s="26">
        <v>26145</v>
      </c>
      <c r="F74" s="25">
        <v>4910</v>
      </c>
      <c r="G74" s="25">
        <v>1959</v>
      </c>
      <c r="H74" s="27">
        <v>2951</v>
      </c>
    </row>
    <row r="75" spans="1:8" ht="14.4" x14ac:dyDescent="0.3">
      <c r="A75" s="7" t="s">
        <v>81</v>
      </c>
      <c r="B75" s="19">
        <f t="shared" si="2"/>
        <v>2015</v>
      </c>
      <c r="C75" t="str">
        <f t="shared" si="3"/>
        <v>Q2</v>
      </c>
      <c r="D75" s="25">
        <v>31035</v>
      </c>
      <c r="E75" s="26">
        <v>25987</v>
      </c>
      <c r="F75" s="25">
        <v>5036</v>
      </c>
      <c r="G75" s="25">
        <v>2048</v>
      </c>
      <c r="H75" s="27">
        <v>2988</v>
      </c>
    </row>
    <row r="76" spans="1:8" ht="14.4" x14ac:dyDescent="0.3">
      <c r="A76" s="7" t="s">
        <v>82</v>
      </c>
      <c r="B76" s="19">
        <f t="shared" si="2"/>
        <v>2015</v>
      </c>
      <c r="C76" t="str">
        <f t="shared" si="3"/>
        <v>Q3</v>
      </c>
      <c r="D76" s="25">
        <v>31416</v>
      </c>
      <c r="E76" s="26">
        <v>26273</v>
      </c>
      <c r="F76" s="25">
        <v>5123</v>
      </c>
      <c r="G76" s="25">
        <v>2121</v>
      </c>
      <c r="H76" s="27">
        <v>3002</v>
      </c>
    </row>
    <row r="77" spans="1:8" ht="14.4" x14ac:dyDescent="0.3">
      <c r="A77" s="7" t="s">
        <v>83</v>
      </c>
      <c r="B77" s="19">
        <f t="shared" si="2"/>
        <v>2015</v>
      </c>
      <c r="C77" t="str">
        <f t="shared" si="3"/>
        <v>Q4</v>
      </c>
      <c r="D77" s="25">
        <v>31615</v>
      </c>
      <c r="E77" s="26">
        <v>26485</v>
      </c>
      <c r="F77" s="25">
        <v>5114</v>
      </c>
      <c r="G77" s="25">
        <v>2115</v>
      </c>
      <c r="H77" s="27">
        <v>2999</v>
      </c>
    </row>
    <row r="78" spans="1:8" ht="14.4" x14ac:dyDescent="0.3">
      <c r="A78" s="7" t="s">
        <v>84</v>
      </c>
      <c r="B78" s="19">
        <f t="shared" si="2"/>
        <v>2016</v>
      </c>
      <c r="C78" t="str">
        <f t="shared" si="3"/>
        <v>Q1</v>
      </c>
      <c r="D78" s="25">
        <v>31499</v>
      </c>
      <c r="E78" s="26">
        <v>26251</v>
      </c>
      <c r="F78" s="25">
        <v>5242</v>
      </c>
      <c r="G78" s="25">
        <v>2210</v>
      </c>
      <c r="H78" s="27">
        <v>3032</v>
      </c>
    </row>
    <row r="79" spans="1:8" ht="14.4" x14ac:dyDescent="0.3">
      <c r="A79" s="7" t="s">
        <v>85</v>
      </c>
      <c r="B79" s="19">
        <f t="shared" si="2"/>
        <v>2016</v>
      </c>
      <c r="C79" t="str">
        <f t="shared" si="3"/>
        <v>Q2</v>
      </c>
      <c r="D79" s="25">
        <v>31673</v>
      </c>
      <c r="E79" s="26">
        <v>26261</v>
      </c>
      <c r="F79" s="25">
        <v>5406</v>
      </c>
      <c r="G79" s="25">
        <v>2335</v>
      </c>
      <c r="H79" s="27">
        <v>3071</v>
      </c>
    </row>
    <row r="80" spans="1:8" ht="14.4" x14ac:dyDescent="0.3">
      <c r="A80" s="7" t="s">
        <v>86</v>
      </c>
      <c r="B80" s="19">
        <f t="shared" si="2"/>
        <v>2016</v>
      </c>
      <c r="C80" t="str">
        <f t="shared" si="3"/>
        <v>Q3</v>
      </c>
      <c r="D80" s="25">
        <v>31890</v>
      </c>
      <c r="E80" s="26">
        <v>26326</v>
      </c>
      <c r="F80" s="25">
        <v>5556</v>
      </c>
      <c r="G80" s="25">
        <v>2354</v>
      </c>
      <c r="H80" s="27">
        <v>3202</v>
      </c>
    </row>
    <row r="81" spans="1:8" ht="14.4" x14ac:dyDescent="0.3">
      <c r="A81" s="7" t="s">
        <v>87</v>
      </c>
      <c r="B81" s="19">
        <f t="shared" si="2"/>
        <v>2016</v>
      </c>
      <c r="C81" t="str">
        <f t="shared" si="3"/>
        <v>Q4</v>
      </c>
      <c r="D81" s="25">
        <v>31920</v>
      </c>
      <c r="E81" s="26">
        <v>26367</v>
      </c>
      <c r="F81" s="25">
        <v>5548</v>
      </c>
      <c r="G81" s="25">
        <v>2304</v>
      </c>
      <c r="H81" s="27">
        <v>3244</v>
      </c>
    </row>
    <row r="82" spans="1:8" ht="14.4" x14ac:dyDescent="0.3">
      <c r="A82" s="7" t="s">
        <v>88</v>
      </c>
      <c r="B82" s="19">
        <f t="shared" si="2"/>
        <v>2017</v>
      </c>
      <c r="C82" t="str">
        <f t="shared" si="3"/>
        <v>Q1</v>
      </c>
      <c r="D82" s="25">
        <v>31878</v>
      </c>
      <c r="E82" s="26">
        <v>26260</v>
      </c>
      <c r="F82" s="25">
        <v>5613</v>
      </c>
      <c r="G82" s="25">
        <v>2354</v>
      </c>
      <c r="H82" s="27">
        <v>3259</v>
      </c>
    </row>
    <row r="83" spans="1:8" ht="14.4" x14ac:dyDescent="0.3">
      <c r="A83" s="7" t="s">
        <v>89</v>
      </c>
      <c r="B83" s="19">
        <f t="shared" si="2"/>
        <v>2017</v>
      </c>
      <c r="C83" t="str">
        <f t="shared" si="3"/>
        <v>Q2</v>
      </c>
      <c r="D83" s="25">
        <v>31996</v>
      </c>
      <c r="E83" s="26">
        <v>26345</v>
      </c>
      <c r="F83" s="25">
        <v>5648</v>
      </c>
      <c r="G83" s="25">
        <v>2366</v>
      </c>
      <c r="H83" s="27">
        <v>3283</v>
      </c>
    </row>
    <row r="84" spans="1:8" ht="14.4" x14ac:dyDescent="0.3">
      <c r="A84" s="7" t="s">
        <v>90</v>
      </c>
      <c r="B84" s="19">
        <f t="shared" si="2"/>
        <v>2017</v>
      </c>
      <c r="C84" t="str">
        <f t="shared" si="3"/>
        <v>Q3</v>
      </c>
      <c r="D84" s="25">
        <v>32138</v>
      </c>
      <c r="E84" s="26">
        <v>26463</v>
      </c>
      <c r="F84" s="25">
        <v>5673</v>
      </c>
      <c r="G84" s="25">
        <v>2394</v>
      </c>
      <c r="H84" s="27">
        <v>3279</v>
      </c>
    </row>
    <row r="85" spans="1:8" ht="14.4" x14ac:dyDescent="0.3">
      <c r="A85" s="7" t="s">
        <v>91</v>
      </c>
      <c r="B85" s="19">
        <f t="shared" si="2"/>
        <v>2017</v>
      </c>
      <c r="C85" t="str">
        <f t="shared" si="3"/>
        <v>Q4</v>
      </c>
      <c r="D85" s="25">
        <v>32230</v>
      </c>
      <c r="E85" s="26">
        <v>26659</v>
      </c>
      <c r="F85" s="25">
        <v>5568</v>
      </c>
      <c r="G85" s="25">
        <v>2378</v>
      </c>
      <c r="H85" s="27">
        <v>3190</v>
      </c>
    </row>
    <row r="86" spans="1:8" ht="14.4" x14ac:dyDescent="0.3">
      <c r="A86" s="7" t="s">
        <v>92</v>
      </c>
      <c r="B86" s="19">
        <f t="shared" si="2"/>
        <v>2018</v>
      </c>
      <c r="C86" t="str">
        <f t="shared" si="3"/>
        <v>Q1</v>
      </c>
      <c r="D86" s="25">
        <v>32277</v>
      </c>
      <c r="E86" s="26">
        <v>26659</v>
      </c>
      <c r="F86" s="25">
        <v>5615</v>
      </c>
      <c r="G86" s="25">
        <v>2362</v>
      </c>
      <c r="H86" s="27">
        <v>3253</v>
      </c>
    </row>
    <row r="87" spans="1:8" ht="14.4" x14ac:dyDescent="0.3">
      <c r="A87" s="7" t="s">
        <v>93</v>
      </c>
      <c r="B87" s="19">
        <f t="shared" si="2"/>
        <v>2018</v>
      </c>
      <c r="C87" t="str">
        <f t="shared" si="3"/>
        <v>Q2</v>
      </c>
      <c r="D87" s="25">
        <v>32321</v>
      </c>
      <c r="E87" s="26">
        <v>26720</v>
      </c>
      <c r="F87" s="25">
        <v>5597</v>
      </c>
      <c r="G87" s="25">
        <v>2350</v>
      </c>
      <c r="H87" s="27">
        <v>3248</v>
      </c>
    </row>
    <row r="88" spans="1:8" ht="14.4" x14ac:dyDescent="0.3">
      <c r="A88" s="7" t="s">
        <v>94</v>
      </c>
      <c r="B88" s="19">
        <f t="shared" si="2"/>
        <v>2018</v>
      </c>
      <c r="C88" t="str">
        <f t="shared" si="3"/>
        <v>Q3</v>
      </c>
      <c r="D88" s="25">
        <v>32503</v>
      </c>
      <c r="E88" s="26">
        <v>26963</v>
      </c>
      <c r="F88" s="25">
        <v>5532</v>
      </c>
      <c r="G88" s="25">
        <v>2288</v>
      </c>
      <c r="H88" s="27">
        <v>3244</v>
      </c>
    </row>
    <row r="89" spans="1:8" ht="14.4" x14ac:dyDescent="0.3">
      <c r="A89" s="7" t="s">
        <v>95</v>
      </c>
      <c r="B89" s="19">
        <f t="shared" si="2"/>
        <v>2018</v>
      </c>
      <c r="C89" t="str">
        <f t="shared" si="3"/>
        <v>Q4</v>
      </c>
      <c r="D89" s="25">
        <v>32671</v>
      </c>
      <c r="E89" s="26">
        <v>27011</v>
      </c>
      <c r="F89" s="25">
        <v>5651</v>
      </c>
      <c r="G89" s="25">
        <v>2303</v>
      </c>
      <c r="H89" s="27">
        <v>3349</v>
      </c>
    </row>
    <row r="90" spans="1:8" ht="14.4" x14ac:dyDescent="0.3">
      <c r="A90" s="8" t="s">
        <v>96</v>
      </c>
      <c r="B90" s="19">
        <f t="shared" si="2"/>
        <v>2019</v>
      </c>
      <c r="C90" t="str">
        <f t="shared" si="3"/>
        <v>Q1</v>
      </c>
      <c r="D90" s="29">
        <v>32770</v>
      </c>
      <c r="E90" s="31">
        <v>26946</v>
      </c>
      <c r="F90" s="29">
        <v>5817</v>
      </c>
      <c r="G90" s="29">
        <v>2432</v>
      </c>
      <c r="H90" s="33">
        <v>3386</v>
      </c>
    </row>
    <row r="91" spans="1:8" ht="14.4" x14ac:dyDescent="0.3">
      <c r="A91" s="7" t="s">
        <v>97</v>
      </c>
      <c r="B91" s="19">
        <f t="shared" si="2"/>
        <v>2019</v>
      </c>
      <c r="C91" t="str">
        <f t="shared" si="3"/>
        <v>Q2</v>
      </c>
      <c r="D91" s="25">
        <v>32884</v>
      </c>
      <c r="E91" s="26">
        <v>27083</v>
      </c>
      <c r="F91" s="25">
        <v>5793</v>
      </c>
      <c r="G91" s="25">
        <v>2447</v>
      </c>
      <c r="H91" s="27">
        <v>3346</v>
      </c>
    </row>
    <row r="92" spans="1:8" ht="14.4" x14ac:dyDescent="0.3">
      <c r="A92" s="7" t="s">
        <v>98</v>
      </c>
      <c r="B92" s="19">
        <f t="shared" si="2"/>
        <v>2019</v>
      </c>
      <c r="C92" t="str">
        <f t="shared" si="3"/>
        <v>Q3</v>
      </c>
      <c r="D92" s="25">
        <v>32923</v>
      </c>
      <c r="E92" s="26">
        <v>27138</v>
      </c>
      <c r="F92" s="25">
        <v>5781</v>
      </c>
      <c r="G92" s="25">
        <v>2373</v>
      </c>
      <c r="H92" s="27">
        <v>3408</v>
      </c>
    </row>
    <row r="93" spans="1:8" ht="14.4" x14ac:dyDescent="0.3">
      <c r="A93" s="7" t="s">
        <v>99</v>
      </c>
      <c r="B93" s="19">
        <f t="shared" si="2"/>
        <v>2019</v>
      </c>
      <c r="C93" t="str">
        <f t="shared" si="3"/>
        <v>Q4</v>
      </c>
      <c r="D93" s="25">
        <v>33098</v>
      </c>
      <c r="E93" s="26">
        <v>27273</v>
      </c>
      <c r="F93" s="25">
        <v>5822</v>
      </c>
      <c r="G93" s="25">
        <v>2443</v>
      </c>
      <c r="H93" s="27">
        <v>3379</v>
      </c>
    </row>
    <row r="94" spans="1:8" ht="14.4" x14ac:dyDescent="0.3">
      <c r="A94" s="7" t="s">
        <v>100</v>
      </c>
      <c r="B94" s="19">
        <f t="shared" si="2"/>
        <v>2020</v>
      </c>
      <c r="C94" t="str">
        <f t="shared" si="3"/>
        <v>Q1</v>
      </c>
      <c r="D94" s="25">
        <v>32977</v>
      </c>
      <c r="E94" s="26">
        <v>26945</v>
      </c>
      <c r="F94" s="25">
        <v>6023</v>
      </c>
      <c r="G94" s="25">
        <v>2553</v>
      </c>
      <c r="H94" s="27">
        <v>3470</v>
      </c>
    </row>
    <row r="95" spans="1:8" ht="14.4" x14ac:dyDescent="0.3">
      <c r="A95" s="7" t="s">
        <v>101</v>
      </c>
      <c r="B95" s="19">
        <f t="shared" si="2"/>
        <v>2020</v>
      </c>
      <c r="C95" t="str">
        <f t="shared" si="3"/>
        <v>Q2</v>
      </c>
      <c r="D95" s="25">
        <v>32553</v>
      </c>
      <c r="E95" s="26">
        <v>26852</v>
      </c>
      <c r="F95" s="25">
        <v>5686</v>
      </c>
      <c r="G95" s="25">
        <v>2342</v>
      </c>
      <c r="H95" s="27">
        <v>3344</v>
      </c>
    </row>
    <row r="96" spans="1:8" ht="14.4" x14ac:dyDescent="0.3">
      <c r="A96" s="7" t="s">
        <v>102</v>
      </c>
      <c r="B96" s="19">
        <f t="shared" si="2"/>
        <v>2020</v>
      </c>
      <c r="C96" t="str">
        <f t="shared" si="3"/>
        <v>Q3</v>
      </c>
      <c r="D96" s="25">
        <v>32386</v>
      </c>
      <c r="E96" s="26">
        <v>27061</v>
      </c>
      <c r="F96" s="25">
        <v>5312</v>
      </c>
      <c r="G96" s="25">
        <v>2058</v>
      </c>
      <c r="H96" s="27">
        <v>3254</v>
      </c>
    </row>
    <row r="97" spans="1:8" ht="14.4" x14ac:dyDescent="0.3">
      <c r="A97" s="7" t="s">
        <v>103</v>
      </c>
      <c r="B97" s="19">
        <f t="shared" si="2"/>
        <v>2020</v>
      </c>
      <c r="C97" t="str">
        <f t="shared" si="3"/>
        <v>Q4</v>
      </c>
      <c r="D97" s="25">
        <v>32304</v>
      </c>
      <c r="E97" s="26">
        <v>27144</v>
      </c>
      <c r="F97" s="25">
        <v>5155</v>
      </c>
      <c r="G97" s="25">
        <v>1998</v>
      </c>
      <c r="H97" s="27">
        <v>3157</v>
      </c>
    </row>
    <row r="98" spans="1:8" ht="14.4" x14ac:dyDescent="0.3">
      <c r="A98" s="7" t="s">
        <v>104</v>
      </c>
      <c r="B98" s="19">
        <f t="shared" si="2"/>
        <v>2021</v>
      </c>
      <c r="C98" t="str">
        <f t="shared" si="3"/>
        <v>Q1</v>
      </c>
      <c r="D98" s="25">
        <v>32319</v>
      </c>
      <c r="E98" s="26">
        <v>27159</v>
      </c>
      <c r="F98" s="25">
        <v>5157</v>
      </c>
      <c r="G98" s="25">
        <v>1967</v>
      </c>
      <c r="H98" s="27">
        <v>3190</v>
      </c>
    </row>
    <row r="99" spans="1:8" ht="14.4" x14ac:dyDescent="0.3">
      <c r="A99" s="7" t="s">
        <v>105</v>
      </c>
      <c r="B99" s="19">
        <f t="shared" si="2"/>
        <v>2021</v>
      </c>
      <c r="C99" t="str">
        <f t="shared" si="3"/>
        <v>Q2</v>
      </c>
      <c r="D99" s="25">
        <v>32369</v>
      </c>
      <c r="E99" s="26">
        <v>26929</v>
      </c>
      <c r="F99" s="25">
        <v>5434</v>
      </c>
      <c r="G99" s="25">
        <v>2035</v>
      </c>
      <c r="H99" s="27">
        <v>3399</v>
      </c>
    </row>
    <row r="100" spans="1:8" ht="14.4" x14ac:dyDescent="0.3">
      <c r="A100" s="7" t="s">
        <v>106</v>
      </c>
      <c r="B100" s="19">
        <f t="shared" si="2"/>
        <v>2021</v>
      </c>
      <c r="C100" t="str">
        <f t="shared" si="3"/>
        <v>Q3</v>
      </c>
      <c r="D100" s="25">
        <v>32752</v>
      </c>
      <c r="E100" s="26">
        <v>27132</v>
      </c>
      <c r="F100" s="25">
        <v>5614</v>
      </c>
      <c r="G100" s="25">
        <v>2083</v>
      </c>
      <c r="H100" s="27">
        <v>3531</v>
      </c>
    </row>
    <row r="101" spans="1:8" ht="14.4" x14ac:dyDescent="0.3">
      <c r="A101" s="7" t="s">
        <v>107</v>
      </c>
      <c r="B101" s="19">
        <f t="shared" si="2"/>
        <v>2021</v>
      </c>
      <c r="C101" t="str">
        <f t="shared" si="3"/>
        <v>Q4</v>
      </c>
      <c r="D101" s="25">
        <v>32766</v>
      </c>
      <c r="E101" s="26">
        <v>27106</v>
      </c>
      <c r="F101" s="25">
        <v>5655</v>
      </c>
      <c r="G101" s="25">
        <v>2100</v>
      </c>
      <c r="H101" s="27">
        <v>3555</v>
      </c>
    </row>
    <row r="102" spans="1:8" ht="14.4" x14ac:dyDescent="0.3">
      <c r="A102" s="7" t="s">
        <v>108</v>
      </c>
      <c r="B102" s="19">
        <f t="shared" si="2"/>
        <v>2022</v>
      </c>
      <c r="C102" t="str">
        <f t="shared" si="3"/>
        <v>Q1</v>
      </c>
      <c r="D102" s="25">
        <v>32796</v>
      </c>
      <c r="E102" s="26">
        <v>26907</v>
      </c>
      <c r="F102" s="25">
        <v>5881</v>
      </c>
      <c r="G102" s="25">
        <v>2206</v>
      </c>
      <c r="H102" s="27">
        <v>3675</v>
      </c>
    </row>
    <row r="103" spans="1:8" ht="14.4" x14ac:dyDescent="0.3">
      <c r="A103" s="7" t="s">
        <v>109</v>
      </c>
      <c r="B103" s="19">
        <f t="shared" si="2"/>
        <v>2022</v>
      </c>
      <c r="C103" t="str">
        <f t="shared" si="3"/>
        <v>Q2</v>
      </c>
      <c r="D103" s="25">
        <v>32924</v>
      </c>
      <c r="E103" s="26">
        <v>26835</v>
      </c>
      <c r="F103" s="25">
        <v>6077</v>
      </c>
      <c r="G103" s="25">
        <v>2205</v>
      </c>
      <c r="H103" s="27">
        <v>3873</v>
      </c>
    </row>
    <row r="104" spans="1:8" ht="14.4" x14ac:dyDescent="0.3">
      <c r="A104" s="7" t="s">
        <v>110</v>
      </c>
      <c r="B104" s="19">
        <f t="shared" si="2"/>
        <v>2022</v>
      </c>
      <c r="C104" t="str">
        <f t="shared" si="3"/>
        <v>Q3</v>
      </c>
      <c r="D104" s="25">
        <v>32953</v>
      </c>
      <c r="E104" s="26">
        <v>26637</v>
      </c>
      <c r="F104" s="25">
        <v>6307</v>
      </c>
      <c r="G104" s="25">
        <v>2198</v>
      </c>
      <c r="H104" s="27">
        <v>4110</v>
      </c>
    </row>
    <row r="105" spans="1:8" ht="14.4" x14ac:dyDescent="0.3">
      <c r="A105" s="7" t="s">
        <v>111</v>
      </c>
      <c r="B105" s="19">
        <f t="shared" si="2"/>
        <v>2022</v>
      </c>
      <c r="C105" t="str">
        <f t="shared" si="3"/>
        <v>Q4</v>
      </c>
      <c r="D105" s="25">
        <v>33149</v>
      </c>
      <c r="E105" s="26">
        <v>26690</v>
      </c>
      <c r="F105" s="25">
        <v>6456</v>
      </c>
      <c r="G105" s="25">
        <v>2301</v>
      </c>
      <c r="H105" s="27">
        <v>4155</v>
      </c>
    </row>
    <row r="106" spans="1:8" ht="14.4" x14ac:dyDescent="0.3">
      <c r="A106" s="7" t="s">
        <v>112</v>
      </c>
      <c r="B106" s="19">
        <f t="shared" si="2"/>
        <v>2023</v>
      </c>
      <c r="C106" t="str">
        <f t="shared" si="3"/>
        <v>Q1</v>
      </c>
      <c r="D106" s="25">
        <v>33329</v>
      </c>
      <c r="E106" s="26">
        <v>26746</v>
      </c>
      <c r="F106" s="25">
        <v>6582</v>
      </c>
      <c r="G106" s="25">
        <v>2314</v>
      </c>
      <c r="H106" s="27">
        <v>4268</v>
      </c>
    </row>
    <row r="107" spans="1:8" ht="14.4" x14ac:dyDescent="0.3">
      <c r="A107" s="7" t="s">
        <v>113</v>
      </c>
      <c r="B107" s="19">
        <f t="shared" si="2"/>
        <v>2023</v>
      </c>
      <c r="C107" t="str">
        <f t="shared" si="3"/>
        <v>Q2</v>
      </c>
      <c r="D107" s="25">
        <v>33275</v>
      </c>
      <c r="E107" s="26">
        <v>26679</v>
      </c>
      <c r="F107" s="25">
        <v>6589</v>
      </c>
      <c r="G107" s="25">
        <v>2232</v>
      </c>
      <c r="H107" s="27">
        <v>4357</v>
      </c>
    </row>
    <row r="108" spans="1:8" ht="14.4" x14ac:dyDescent="0.3">
      <c r="A108" s="7" t="s">
        <v>114</v>
      </c>
      <c r="B108" s="19">
        <f t="shared" si="2"/>
        <v>2023</v>
      </c>
      <c r="C108" t="str">
        <f t="shared" si="3"/>
        <v>Q3</v>
      </c>
      <c r="D108" s="25">
        <v>33379</v>
      </c>
      <c r="E108" s="26">
        <v>26656</v>
      </c>
      <c r="F108" s="25">
        <v>6713</v>
      </c>
      <c r="G108" s="25">
        <v>2274</v>
      </c>
      <c r="H108" s="27">
        <v>4439</v>
      </c>
    </row>
    <row r="109" spans="1:8" ht="14.4" x14ac:dyDescent="0.3">
      <c r="A109" s="7" t="s">
        <v>115</v>
      </c>
      <c r="B109" s="19">
        <f t="shared" si="2"/>
        <v>2023</v>
      </c>
      <c r="C109" t="str">
        <f t="shared" si="3"/>
        <v>Q4</v>
      </c>
      <c r="D109" s="25">
        <v>33412</v>
      </c>
      <c r="E109" s="26">
        <v>26470</v>
      </c>
      <c r="F109" s="25">
        <v>6926</v>
      </c>
      <c r="G109" s="25">
        <v>2311</v>
      </c>
      <c r="H109" s="27">
        <v>4615</v>
      </c>
    </row>
    <row r="110" spans="1:8" ht="14.4" x14ac:dyDescent="0.3">
      <c r="A110" s="7" t="s">
        <v>116</v>
      </c>
      <c r="B110" s="19">
        <f t="shared" si="2"/>
        <v>2024</v>
      </c>
      <c r="C110" t="str">
        <f t="shared" si="3"/>
        <v>Q1</v>
      </c>
      <c r="D110" s="25">
        <v>33334</v>
      </c>
      <c r="E110" s="26">
        <v>26448</v>
      </c>
      <c r="F110" s="25">
        <v>6886</v>
      </c>
      <c r="G110" s="25">
        <v>2234</v>
      </c>
      <c r="H110" s="27">
        <v>4652</v>
      </c>
    </row>
    <row r="111" spans="1:8" ht="14.4" x14ac:dyDescent="0.3">
      <c r="A111" s="7" t="s">
        <v>117</v>
      </c>
      <c r="B111" s="19">
        <f t="shared" si="2"/>
        <v>2024</v>
      </c>
      <c r="C111" t="str">
        <f t="shared" si="3"/>
        <v>Q2</v>
      </c>
      <c r="D111" s="25">
        <v>33417</v>
      </c>
      <c r="E111" s="26">
        <v>26514</v>
      </c>
      <c r="F111" s="25">
        <v>6902</v>
      </c>
      <c r="G111" s="25">
        <v>2237</v>
      </c>
      <c r="H111" s="27">
        <v>4665</v>
      </c>
    </row>
    <row r="112" spans="1:8" ht="14.4" x14ac:dyDescent="0.3">
      <c r="A112" s="7" t="s">
        <v>118</v>
      </c>
      <c r="B112" s="19">
        <f t="shared" si="2"/>
        <v>2024</v>
      </c>
      <c r="C112" t="str">
        <f t="shared" si="3"/>
        <v>Q3</v>
      </c>
      <c r="D112" s="25">
        <v>33804</v>
      </c>
      <c r="E112" s="26">
        <v>26710</v>
      </c>
      <c r="F112" s="25">
        <v>7093</v>
      </c>
      <c r="G112" s="25">
        <v>2226</v>
      </c>
      <c r="H112" s="27">
        <v>4868</v>
      </c>
    </row>
    <row r="113" spans="1:8" ht="14.4" x14ac:dyDescent="0.3">
      <c r="A113" s="7" t="s">
        <v>119</v>
      </c>
      <c r="B113" s="19">
        <f t="shared" si="2"/>
        <v>2024</v>
      </c>
      <c r="C113" t="str">
        <f t="shared" si="3"/>
        <v>Q4</v>
      </c>
      <c r="D113" s="25">
        <v>33896</v>
      </c>
      <c r="E113" s="26">
        <v>26844</v>
      </c>
      <c r="F113" s="25">
        <v>7044</v>
      </c>
      <c r="G113" s="25">
        <v>2261</v>
      </c>
      <c r="H113" s="27">
        <v>4784</v>
      </c>
    </row>
    <row r="114" spans="1:8" ht="14.4" x14ac:dyDescent="0.3">
      <c r="A114" s="7" t="s">
        <v>120</v>
      </c>
      <c r="B114" s="19">
        <f t="shared" si="2"/>
        <v>2025</v>
      </c>
      <c r="C114" t="str">
        <f t="shared" si="3"/>
        <v>Q1</v>
      </c>
      <c r="D114" s="25">
        <v>33979</v>
      </c>
      <c r="E114" s="26">
        <v>26849</v>
      </c>
      <c r="F114" s="25">
        <v>7120</v>
      </c>
      <c r="G114" s="25">
        <v>2276</v>
      </c>
      <c r="H114" s="27">
        <v>4845</v>
      </c>
    </row>
    <row r="115" spans="1:8" ht="14.4" x14ac:dyDescent="0.3">
      <c r="A115" s="7" t="s">
        <v>121</v>
      </c>
      <c r="B115" s="19">
        <f t="shared" si="2"/>
        <v>2025</v>
      </c>
      <c r="C115" t="str">
        <f t="shared" si="3"/>
        <v>Q2</v>
      </c>
      <c r="D115" s="25">
        <v>34170</v>
      </c>
      <c r="E115" s="26">
        <v>26902</v>
      </c>
      <c r="F115" s="25">
        <v>7260</v>
      </c>
      <c r="G115" s="25">
        <v>2253</v>
      </c>
      <c r="H115" s="27">
        <v>5007</v>
      </c>
    </row>
    <row r="116" spans="1:8" ht="14.4" x14ac:dyDescent="0.3">
      <c r="A116" s="7" t="s">
        <v>122</v>
      </c>
      <c r="B116" s="19">
        <f t="shared" si="2"/>
        <v>2025</v>
      </c>
      <c r="C116" t="str">
        <f t="shared" si="3"/>
        <v>Q3</v>
      </c>
      <c r="D116" s="25">
        <v>34216</v>
      </c>
      <c r="E116" s="26">
        <v>26877</v>
      </c>
      <c r="F116" s="25">
        <v>7333</v>
      </c>
      <c r="G116" s="25">
        <v>2251</v>
      </c>
      <c r="H116" s="27">
        <v>5082</v>
      </c>
    </row>
    <row r="117" spans="1:8" ht="14.4" x14ac:dyDescent="0.3">
      <c r="A117" s="7" t="s">
        <v>123</v>
      </c>
      <c r="B117" s="19">
        <f t="shared" si="2"/>
        <v>2025</v>
      </c>
      <c r="C117" t="str">
        <f t="shared" si="3"/>
        <v>Q4</v>
      </c>
      <c r="D117" s="25">
        <v>34275</v>
      </c>
      <c r="E117" s="26">
        <v>26873</v>
      </c>
      <c r="F117" s="25">
        <v>7398</v>
      </c>
      <c r="G117" s="25">
        <v>2287</v>
      </c>
      <c r="H117" s="27">
        <v>5112</v>
      </c>
    </row>
    <row r="118" spans="1:8" ht="14.4" x14ac:dyDescent="0.3">
      <c r="A118" s="14" t="s">
        <v>124</v>
      </c>
      <c r="B118" s="19">
        <f t="shared" si="2"/>
        <v>2026</v>
      </c>
      <c r="C118" t="str">
        <f t="shared" si="3"/>
        <v>Q1</v>
      </c>
      <c r="D118" s="34">
        <v>34369</v>
      </c>
      <c r="E118" s="35">
        <v>26669</v>
      </c>
      <c r="F118" s="34">
        <v>7698</v>
      </c>
      <c r="G118" s="34">
        <v>2400</v>
      </c>
      <c r="H118" s="37">
        <v>5298</v>
      </c>
    </row>
    <row r="119" spans="1:8" ht="14.4" x14ac:dyDescent="0.3"/>
    <row r="120" spans="1:8" ht="14.4" x14ac:dyDescent="0.3"/>
    <row r="121" spans="1:8" ht="14.4" x14ac:dyDescent="0.3"/>
    <row r="122" spans="1:8" ht="14.4" x14ac:dyDescent="0.3"/>
    <row r="123" spans="1:8" ht="14.4" x14ac:dyDescent="0.3"/>
    <row r="124" spans="1:8" ht="14.4" x14ac:dyDescent="0.3"/>
    <row r="125" spans="1:8" ht="14.4" x14ac:dyDescent="0.3"/>
    <row r="126" spans="1:8" ht="14.4" x14ac:dyDescent="0.3"/>
    <row r="127" spans="1:8" ht="14.4" x14ac:dyDescent="0.3"/>
    <row r="128" spans="1: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F3B-30FA-4694-89CF-55F73307FA65}">
  <dimension ref="A1:H118"/>
  <sheetViews>
    <sheetView workbookViewId="0">
      <selection activeCell="I1" sqref="I1"/>
    </sheetView>
  </sheetViews>
  <sheetFormatPr defaultRowHeight="14.4" x14ac:dyDescent="0.3"/>
  <cols>
    <col min="1" max="1" width="15" customWidth="1"/>
    <col min="2" max="2" width="9.5546875" customWidth="1"/>
    <col min="3" max="3" width="11.5546875" customWidth="1"/>
    <col min="4" max="5" width="11.6640625" customWidth="1"/>
    <col min="6" max="6" width="13.44140625" customWidth="1"/>
    <col min="7" max="7" width="10.88671875" customWidth="1"/>
    <col min="8" max="8" width="14" customWidth="1"/>
  </cols>
  <sheetData>
    <row r="1" spans="1:8" x14ac:dyDescent="0.3">
      <c r="A1" s="38" t="s">
        <v>0</v>
      </c>
      <c r="B1" t="s">
        <v>1</v>
      </c>
      <c r="C1" s="1" t="s">
        <v>2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 spans="1:8" x14ac:dyDescent="0.3">
      <c r="A2" s="2" t="s">
        <v>8</v>
      </c>
      <c r="B2">
        <f t="shared" ref="B2:B33" si="0">(RIGHT(TRIM(A2),4))*1</f>
        <v>1997</v>
      </c>
      <c r="C2" s="19" t="str">
        <f>IF(LEFT(A2,3)="Jan","Q1",IF(LEFT(A2,3)="Apr","Q2",IF(LEFT(A2,3)="Jul","Q3",IF(LEFT(A2,3)="Oct","Q4",""))))</f>
        <v>Q1</v>
      </c>
      <c r="D2" s="3">
        <v>70.401265478422488</v>
      </c>
      <c r="E2" s="4">
        <v>71.2635374869309</v>
      </c>
      <c r="F2" s="5">
        <v>61.062883753486034</v>
      </c>
      <c r="G2" s="3">
        <v>64.742003616290162</v>
      </c>
      <c r="H2" s="6">
        <v>59.408774131106988</v>
      </c>
    </row>
    <row r="3" spans="1:8" x14ac:dyDescent="0.3">
      <c r="A3" s="2" t="s">
        <v>9</v>
      </c>
      <c r="B3">
        <f t="shared" si="0"/>
        <v>1997</v>
      </c>
      <c r="C3" s="19" t="str">
        <f>IF(LEFT(A3,3)="Jan","Q1",IF(LEFT(A3,3)="Apr","Q2",IF(LEFT(A3,3)="Jul","Q3",IF(LEFT(A3,3)="Oct","Q4",""))))</f>
        <v>Q2</v>
      </c>
      <c r="D3" s="3">
        <v>70.825526358526631</v>
      </c>
      <c r="E3" s="4">
        <v>71.666639161833814</v>
      </c>
      <c r="F3" s="5">
        <v>61.859625129979968</v>
      </c>
      <c r="G3" s="3">
        <v>66.614214474509382</v>
      </c>
      <c r="H3" s="6">
        <v>59.776514347994649</v>
      </c>
    </row>
    <row r="4" spans="1:8" x14ac:dyDescent="0.3">
      <c r="A4" s="2" t="s">
        <v>10</v>
      </c>
      <c r="B4">
        <f t="shared" si="0"/>
        <v>1997</v>
      </c>
      <c r="C4" s="19" t="str">
        <f t="shared" ref="C4:C66" si="1">IF(LEFT(A4,3)="Jan","Q1",IF(LEFT(A4,3)="Apr","Q2",IF(LEFT(A4,3)="Jul","Q3",IF(LEFT(A4,3)="Oct","Q4",""))))</f>
        <v>Q3</v>
      </c>
      <c r="D4" s="3">
        <v>71.443139388182701</v>
      </c>
      <c r="E4" s="4">
        <v>72.299920179216684</v>
      </c>
      <c r="F4" s="5">
        <v>62.324431739568084</v>
      </c>
      <c r="G4" s="3">
        <v>68.028845389854524</v>
      </c>
      <c r="H4" s="6">
        <v>59.884961810238636</v>
      </c>
    </row>
    <row r="5" spans="1:8" x14ac:dyDescent="0.3">
      <c r="A5" s="2" t="s">
        <v>11</v>
      </c>
      <c r="B5">
        <f t="shared" si="0"/>
        <v>1997</v>
      </c>
      <c r="C5" s="19" t="str">
        <f t="shared" si="1"/>
        <v>Q4</v>
      </c>
      <c r="D5" s="3">
        <v>71.358963573121343</v>
      </c>
      <c r="E5" s="4">
        <v>72.215711525829434</v>
      </c>
      <c r="F5" s="5">
        <v>62.320049765101061</v>
      </c>
      <c r="G5" s="3">
        <v>66.812424217636078</v>
      </c>
      <c r="H5" s="6">
        <v>60.364692297915724</v>
      </c>
    </row>
    <row r="6" spans="1:8" x14ac:dyDescent="0.3">
      <c r="A6" s="2" t="s">
        <v>12</v>
      </c>
      <c r="B6">
        <f t="shared" si="0"/>
        <v>1998</v>
      </c>
      <c r="C6" s="19" t="str">
        <f t="shared" si="1"/>
        <v>Q1</v>
      </c>
      <c r="D6" s="3">
        <v>70.933512610125035</v>
      </c>
      <c r="E6" s="4">
        <v>71.758336565916252</v>
      </c>
      <c r="F6" s="5">
        <v>62.370360228190776</v>
      </c>
      <c r="G6" s="3">
        <v>66.424526814352348</v>
      </c>
      <c r="H6" s="6">
        <v>60.545482804749753</v>
      </c>
    </row>
    <row r="7" spans="1:8" x14ac:dyDescent="0.3">
      <c r="A7" s="2" t="s">
        <v>13</v>
      </c>
      <c r="B7">
        <f t="shared" si="0"/>
        <v>1998</v>
      </c>
      <c r="C7" s="19" t="str">
        <f t="shared" si="1"/>
        <v>Q2</v>
      </c>
      <c r="D7" s="3">
        <v>71.074500001763681</v>
      </c>
      <c r="E7" s="4">
        <v>71.9721705703558</v>
      </c>
      <c r="F7" s="5">
        <v>61.925251285837312</v>
      </c>
      <c r="G7" s="3">
        <v>66.422792627075921</v>
      </c>
      <c r="H7" s="6">
        <v>59.869244039456802</v>
      </c>
    </row>
    <row r="8" spans="1:8" x14ac:dyDescent="0.3">
      <c r="A8" s="2" t="s">
        <v>14</v>
      </c>
      <c r="B8">
        <f t="shared" si="0"/>
        <v>1998</v>
      </c>
      <c r="C8" s="19" t="str">
        <f t="shared" si="1"/>
        <v>Q3</v>
      </c>
      <c r="D8" s="3">
        <v>71.925425610157305</v>
      </c>
      <c r="E8" s="4">
        <v>72.873345575991692</v>
      </c>
      <c r="F8" s="5">
        <v>62.166378749576999</v>
      </c>
      <c r="G8" s="3">
        <v>67.377299292403563</v>
      </c>
      <c r="H8" s="6">
        <v>59.835723297065044</v>
      </c>
    </row>
    <row r="9" spans="1:8" x14ac:dyDescent="0.3">
      <c r="A9" s="2" t="s">
        <v>15</v>
      </c>
      <c r="B9">
        <f t="shared" si="0"/>
        <v>1998</v>
      </c>
      <c r="C9" s="19" t="str">
        <f t="shared" si="1"/>
        <v>Q4</v>
      </c>
      <c r="D9" s="3">
        <v>71.949771012921929</v>
      </c>
      <c r="E9" s="4">
        <v>72.865371141059853</v>
      </c>
      <c r="F9" s="5">
        <v>62.769903349804522</v>
      </c>
      <c r="G9" s="3">
        <v>67.868631755885872</v>
      </c>
      <c r="H9" s="6">
        <v>60.515782995795419</v>
      </c>
    </row>
    <row r="10" spans="1:8" x14ac:dyDescent="0.3">
      <c r="A10" s="2" t="s">
        <v>16</v>
      </c>
      <c r="B10">
        <f t="shared" si="0"/>
        <v>1999</v>
      </c>
      <c r="C10" s="19" t="str">
        <f t="shared" si="1"/>
        <v>Q1</v>
      </c>
      <c r="D10" s="3">
        <v>71.5242340966591</v>
      </c>
      <c r="E10" s="4">
        <v>72.433993329694573</v>
      </c>
      <c r="F10" s="5">
        <v>62.418283796480026</v>
      </c>
      <c r="G10" s="3">
        <v>68.108985936086782</v>
      </c>
      <c r="H10" s="6">
        <v>59.866931186313607</v>
      </c>
    </row>
    <row r="11" spans="1:8" x14ac:dyDescent="0.3">
      <c r="A11" s="2" t="s">
        <v>17</v>
      </c>
      <c r="B11">
        <f t="shared" si="0"/>
        <v>1999</v>
      </c>
      <c r="C11" s="19" t="str">
        <f t="shared" si="1"/>
        <v>Q2</v>
      </c>
      <c r="D11" s="3">
        <v>71.683692857301708</v>
      </c>
      <c r="E11" s="4">
        <v>72.623770911899825</v>
      </c>
      <c r="F11" s="5">
        <v>62.146967398002928</v>
      </c>
      <c r="G11" s="3">
        <v>67.998704911451853</v>
      </c>
      <c r="H11" s="6">
        <v>59.665004066235802</v>
      </c>
    </row>
    <row r="12" spans="1:8" x14ac:dyDescent="0.3">
      <c r="A12" s="2" t="s">
        <v>18</v>
      </c>
      <c r="B12">
        <f t="shared" si="0"/>
        <v>1999</v>
      </c>
      <c r="C12" s="19" t="str">
        <f t="shared" si="1"/>
        <v>Q3</v>
      </c>
      <c r="D12" s="3">
        <v>72.475549297942777</v>
      </c>
      <c r="E12" s="4">
        <v>73.362334734517432</v>
      </c>
      <c r="F12" s="5">
        <v>63.377744825470728</v>
      </c>
      <c r="G12" s="3">
        <v>69.272631771971319</v>
      </c>
      <c r="H12" s="6">
        <v>60.93371713152569</v>
      </c>
    </row>
    <row r="13" spans="1:8" x14ac:dyDescent="0.3">
      <c r="A13" s="2" t="s">
        <v>19</v>
      </c>
      <c r="B13">
        <f t="shared" si="0"/>
        <v>1999</v>
      </c>
      <c r="C13" s="19" t="str">
        <f t="shared" si="1"/>
        <v>Q4</v>
      </c>
      <c r="D13" s="3">
        <v>72.443839257101388</v>
      </c>
      <c r="E13" s="4">
        <v>73.427981055080679</v>
      </c>
      <c r="F13" s="5">
        <v>62.502769478918232</v>
      </c>
      <c r="G13" s="3">
        <v>67.537415944622097</v>
      </c>
      <c r="H13" s="6">
        <v>60.349559996657391</v>
      </c>
    </row>
    <row r="14" spans="1:8" x14ac:dyDescent="0.3">
      <c r="A14" s="2" t="s">
        <v>20</v>
      </c>
      <c r="B14">
        <f t="shared" si="0"/>
        <v>2000</v>
      </c>
      <c r="C14" s="19" t="str">
        <f t="shared" si="1"/>
        <v>Q1</v>
      </c>
      <c r="D14" s="3">
        <v>71.939580184391147</v>
      </c>
      <c r="E14" s="4">
        <v>72.97072317786666</v>
      </c>
      <c r="F14" s="5">
        <v>61.785164063798462</v>
      </c>
      <c r="G14" s="3">
        <v>66.780464380213971</v>
      </c>
      <c r="H14" s="6">
        <v>59.638450997456069</v>
      </c>
    </row>
    <row r="15" spans="1:8" x14ac:dyDescent="0.3">
      <c r="A15" s="2" t="s">
        <v>21</v>
      </c>
      <c r="B15">
        <f t="shared" si="0"/>
        <v>2000</v>
      </c>
      <c r="C15" s="19" t="str">
        <f t="shared" si="1"/>
        <v>Q2</v>
      </c>
      <c r="D15" s="3">
        <v>72.281804766967866</v>
      </c>
      <c r="E15" s="4">
        <v>73.326301081068991</v>
      </c>
      <c r="F15" s="5">
        <v>62.196779365310718</v>
      </c>
      <c r="G15" s="3">
        <v>66.603805965585735</v>
      </c>
      <c r="H15" s="6">
        <v>60.400082615819294</v>
      </c>
    </row>
    <row r="16" spans="1:8" x14ac:dyDescent="0.3">
      <c r="A16" s="2" t="s">
        <v>22</v>
      </c>
      <c r="B16">
        <f t="shared" si="0"/>
        <v>2000</v>
      </c>
      <c r="C16" s="19" t="str">
        <f t="shared" si="1"/>
        <v>Q3</v>
      </c>
      <c r="D16" s="3">
        <v>72.97322686128625</v>
      </c>
      <c r="E16" s="4">
        <v>73.966206848019638</v>
      </c>
      <c r="F16" s="5">
        <v>63.326960961383769</v>
      </c>
      <c r="G16" s="3">
        <v>69.994966492834692</v>
      </c>
      <c r="H16" s="6">
        <v>60.726098193290376</v>
      </c>
    </row>
    <row r="17" spans="1:8" x14ac:dyDescent="0.3">
      <c r="A17" s="2" t="s">
        <v>23</v>
      </c>
      <c r="B17">
        <f t="shared" si="0"/>
        <v>2000</v>
      </c>
      <c r="C17" s="19" t="str">
        <f t="shared" si="1"/>
        <v>Q4</v>
      </c>
      <c r="D17" s="3">
        <v>72.67191964148077</v>
      </c>
      <c r="E17" s="4">
        <v>73.625988380521406</v>
      </c>
      <c r="F17" s="5">
        <v>63.463831163884997</v>
      </c>
      <c r="G17" s="3">
        <v>70.654921186396479</v>
      </c>
      <c r="H17" s="6">
        <v>60.615004423201022</v>
      </c>
    </row>
    <row r="18" spans="1:8" x14ac:dyDescent="0.3">
      <c r="A18" s="2" t="s">
        <v>24</v>
      </c>
      <c r="B18">
        <f t="shared" si="0"/>
        <v>2001</v>
      </c>
      <c r="C18" s="19" t="str">
        <f t="shared" si="1"/>
        <v>Q1</v>
      </c>
      <c r="D18" s="3">
        <v>72.328514682480829</v>
      </c>
      <c r="E18" s="4">
        <v>73.283208268268822</v>
      </c>
      <c r="F18" s="5">
        <v>63.162146171138446</v>
      </c>
      <c r="G18" s="3">
        <v>70.214025464605484</v>
      </c>
      <c r="H18" s="6">
        <v>60.35688463795691</v>
      </c>
    </row>
    <row r="19" spans="1:8" x14ac:dyDescent="0.3">
      <c r="A19" s="2" t="s">
        <v>25</v>
      </c>
      <c r="B19">
        <f t="shared" si="0"/>
        <v>2001</v>
      </c>
      <c r="C19" s="19" t="str">
        <f t="shared" si="1"/>
        <v>Q2</v>
      </c>
      <c r="D19" s="3">
        <v>72.501254119942232</v>
      </c>
      <c r="E19" s="4">
        <v>73.532114201808113</v>
      </c>
      <c r="F19" s="5">
        <v>62.729004320290272</v>
      </c>
      <c r="G19" s="3">
        <v>69.948597773859973</v>
      </c>
      <c r="H19" s="6">
        <v>59.890685321045197</v>
      </c>
    </row>
    <row r="20" spans="1:8" x14ac:dyDescent="0.3">
      <c r="A20" s="2" t="s">
        <v>26</v>
      </c>
      <c r="B20">
        <f t="shared" si="0"/>
        <v>2001</v>
      </c>
      <c r="C20" s="19" t="str">
        <f t="shared" si="1"/>
        <v>Q3</v>
      </c>
      <c r="D20" s="3">
        <v>72.854448281265292</v>
      </c>
      <c r="E20" s="4">
        <v>73.874609127650288</v>
      </c>
      <c r="F20" s="5">
        <v>63.314077171564598</v>
      </c>
      <c r="G20" s="3">
        <v>69.283144427185789</v>
      </c>
      <c r="H20" s="6">
        <v>61.005712514001168</v>
      </c>
    </row>
    <row r="21" spans="1:8" x14ac:dyDescent="0.3">
      <c r="A21" s="2" t="s">
        <v>27</v>
      </c>
      <c r="B21">
        <f t="shared" si="0"/>
        <v>2001</v>
      </c>
      <c r="C21" s="19" t="str">
        <f t="shared" si="1"/>
        <v>Q4</v>
      </c>
      <c r="D21" s="3">
        <v>72.744782150287108</v>
      </c>
      <c r="E21" s="4">
        <v>73.755800152787955</v>
      </c>
      <c r="F21" s="5">
        <v>63.374766535711991</v>
      </c>
      <c r="G21" s="3">
        <v>68.994188183517295</v>
      </c>
      <c r="H21" s="6">
        <v>61.177557281707365</v>
      </c>
    </row>
    <row r="22" spans="1:8" x14ac:dyDescent="0.3">
      <c r="A22" s="2" t="s">
        <v>28</v>
      </c>
      <c r="B22">
        <f t="shared" si="0"/>
        <v>2002</v>
      </c>
      <c r="C22" s="19" t="str">
        <f t="shared" si="1"/>
        <v>Q1</v>
      </c>
      <c r="D22" s="3">
        <v>72.169181561665965</v>
      </c>
      <c r="E22" s="4">
        <v>73.225038664868208</v>
      </c>
      <c r="F22" s="5">
        <v>62.496221812018959</v>
      </c>
      <c r="G22" s="3">
        <v>67.847722658435998</v>
      </c>
      <c r="H22" s="6">
        <v>60.388220008140422</v>
      </c>
    </row>
    <row r="23" spans="1:8" x14ac:dyDescent="0.3">
      <c r="A23" s="2" t="s">
        <v>29</v>
      </c>
      <c r="B23">
        <f t="shared" si="0"/>
        <v>2002</v>
      </c>
      <c r="C23" s="19" t="str">
        <f t="shared" si="1"/>
        <v>Q2</v>
      </c>
      <c r="D23" s="3">
        <v>72.517950751837873</v>
      </c>
      <c r="E23" s="4">
        <v>73.521734070071432</v>
      </c>
      <c r="F23" s="5">
        <v>63.450462459491121</v>
      </c>
      <c r="G23" s="3">
        <v>69.390832447694422</v>
      </c>
      <c r="H23" s="6">
        <v>61.275509592946328</v>
      </c>
    </row>
    <row r="24" spans="1:8" x14ac:dyDescent="0.3">
      <c r="A24" s="2" t="s">
        <v>30</v>
      </c>
      <c r="B24">
        <f t="shared" si="0"/>
        <v>2002</v>
      </c>
      <c r="C24" s="19" t="str">
        <f t="shared" si="1"/>
        <v>Q3</v>
      </c>
      <c r="D24" s="3">
        <v>72.878172856479679</v>
      </c>
      <c r="E24" s="4">
        <v>73.896971000286072</v>
      </c>
      <c r="F24" s="5">
        <v>63.949147125752368</v>
      </c>
      <c r="G24" s="3">
        <v>69.883520007472157</v>
      </c>
      <c r="H24" s="6">
        <v>61.782166609822639</v>
      </c>
    </row>
    <row r="25" spans="1:8" x14ac:dyDescent="0.3">
      <c r="A25" s="2" t="s">
        <v>31</v>
      </c>
      <c r="B25">
        <f t="shared" si="0"/>
        <v>2002</v>
      </c>
      <c r="C25" s="19" t="str">
        <f t="shared" si="1"/>
        <v>Q4</v>
      </c>
      <c r="D25" s="3">
        <v>73.029109111475648</v>
      </c>
      <c r="E25" s="4">
        <v>74.053287660156272</v>
      </c>
      <c r="F25" s="5">
        <v>64.071715937541086</v>
      </c>
      <c r="G25" s="3">
        <v>70.374859884988027</v>
      </c>
      <c r="H25" s="6">
        <v>61.752990708774512</v>
      </c>
    </row>
    <row r="26" spans="1:8" x14ac:dyDescent="0.3">
      <c r="A26" s="2" t="s">
        <v>32</v>
      </c>
      <c r="B26">
        <f t="shared" si="0"/>
        <v>2003</v>
      </c>
      <c r="C26" s="19" t="str">
        <f t="shared" si="1"/>
        <v>Q1</v>
      </c>
      <c r="D26" s="3">
        <v>72.420249033049203</v>
      </c>
      <c r="E26" s="4">
        <v>73.499475223368435</v>
      </c>
      <c r="F26" s="5">
        <v>63.148714573725108</v>
      </c>
      <c r="G26" s="3">
        <v>70.006881366576408</v>
      </c>
      <c r="H26" s="6">
        <v>60.664503716732163</v>
      </c>
    </row>
    <row r="27" spans="1:8" x14ac:dyDescent="0.3">
      <c r="A27" s="2" t="s">
        <v>33</v>
      </c>
      <c r="B27">
        <f t="shared" si="0"/>
        <v>2003</v>
      </c>
      <c r="C27" s="19" t="str">
        <f t="shared" si="1"/>
        <v>Q2</v>
      </c>
      <c r="D27" s="3">
        <v>72.716228109913999</v>
      </c>
      <c r="E27" s="4">
        <v>73.757862405310533</v>
      </c>
      <c r="F27" s="5">
        <v>63.842688529593659</v>
      </c>
      <c r="G27" s="3">
        <v>71.229276434612558</v>
      </c>
      <c r="H27" s="6">
        <v>61.208301921710898</v>
      </c>
    </row>
    <row r="28" spans="1:8" x14ac:dyDescent="0.3">
      <c r="A28" s="2" t="s">
        <v>34</v>
      </c>
      <c r="B28">
        <f t="shared" si="0"/>
        <v>2003</v>
      </c>
      <c r="C28" s="19" t="str">
        <f t="shared" si="1"/>
        <v>Q3</v>
      </c>
      <c r="D28" s="3">
        <v>73.073281282670848</v>
      </c>
      <c r="E28" s="4">
        <v>74.069353563712468</v>
      </c>
      <c r="F28" s="5">
        <v>64.539179089411462</v>
      </c>
      <c r="G28" s="3">
        <v>69.657124790232743</v>
      </c>
      <c r="H28" s="6">
        <v>62.734245232436102</v>
      </c>
    </row>
    <row r="29" spans="1:8" x14ac:dyDescent="0.3">
      <c r="A29" s="2" t="s">
        <v>35</v>
      </c>
      <c r="B29">
        <f t="shared" si="0"/>
        <v>2003</v>
      </c>
      <c r="C29" s="19" t="str">
        <f t="shared" si="1"/>
        <v>Q4</v>
      </c>
      <c r="D29" s="3">
        <v>72.924708710040605</v>
      </c>
      <c r="E29" s="4">
        <v>74.014660747330268</v>
      </c>
      <c r="F29" s="5">
        <v>63.616325022563458</v>
      </c>
      <c r="G29" s="3">
        <v>68.677010233849373</v>
      </c>
      <c r="H29" s="6">
        <v>61.76194314172637</v>
      </c>
    </row>
    <row r="30" spans="1:8" x14ac:dyDescent="0.3">
      <c r="A30" s="2" t="s">
        <v>36</v>
      </c>
      <c r="B30">
        <f t="shared" si="0"/>
        <v>2004</v>
      </c>
      <c r="C30" s="19" t="str">
        <f t="shared" si="1"/>
        <v>Q1</v>
      </c>
      <c r="D30" s="3">
        <v>72.796454027823842</v>
      </c>
      <c r="E30" s="4">
        <v>73.867321832576295</v>
      </c>
      <c r="F30" s="5">
        <v>63.745820698913533</v>
      </c>
      <c r="G30" s="3">
        <v>66.998838226751673</v>
      </c>
      <c r="H30" s="6">
        <v>62.534802690940474</v>
      </c>
    </row>
    <row r="31" spans="1:8" x14ac:dyDescent="0.3">
      <c r="A31" s="2" t="s">
        <v>37</v>
      </c>
      <c r="B31">
        <f t="shared" si="0"/>
        <v>2004</v>
      </c>
      <c r="C31" s="19" t="str">
        <f t="shared" si="1"/>
        <v>Q2</v>
      </c>
      <c r="D31" s="3">
        <v>72.706671161602614</v>
      </c>
      <c r="E31" s="4">
        <v>73.718192449359364</v>
      </c>
      <c r="F31" s="5">
        <v>64.362005699349794</v>
      </c>
      <c r="G31" s="3">
        <v>69.522425115021292</v>
      </c>
      <c r="H31" s="6">
        <v>62.503067541552149</v>
      </c>
    </row>
    <row r="32" spans="1:8" x14ac:dyDescent="0.3">
      <c r="A32" s="2" t="s">
        <v>38</v>
      </c>
      <c r="B32">
        <f t="shared" si="0"/>
        <v>2004</v>
      </c>
      <c r="C32" s="19" t="str">
        <f t="shared" si="1"/>
        <v>Q3</v>
      </c>
      <c r="D32" s="3">
        <v>73.155811570379541</v>
      </c>
      <c r="E32" s="4">
        <v>74.115886286796211</v>
      </c>
      <c r="F32" s="5">
        <v>65.272320777642761</v>
      </c>
      <c r="G32" s="3">
        <v>71.683430263591504</v>
      </c>
      <c r="H32" s="6">
        <v>62.998849483090368</v>
      </c>
    </row>
    <row r="33" spans="1:8" x14ac:dyDescent="0.3">
      <c r="A33" s="2" t="s">
        <v>39</v>
      </c>
      <c r="B33">
        <f t="shared" si="0"/>
        <v>2004</v>
      </c>
      <c r="C33" s="19" t="str">
        <f t="shared" si="1"/>
        <v>Q4</v>
      </c>
      <c r="D33" s="3">
        <v>73.199031748150659</v>
      </c>
      <c r="E33" s="4">
        <v>74.161760682755158</v>
      </c>
      <c r="F33" s="5">
        <v>65.519241501029242</v>
      </c>
      <c r="G33" s="3">
        <v>73.393008342051303</v>
      </c>
      <c r="H33" s="6">
        <v>62.742291358065735</v>
      </c>
    </row>
    <row r="34" spans="1:8" x14ac:dyDescent="0.3">
      <c r="A34" s="2" t="s">
        <v>40</v>
      </c>
      <c r="B34">
        <f t="shared" ref="B34:B65" si="2">(RIGHT(TRIM(A34),4))*1</f>
        <v>2005</v>
      </c>
      <c r="C34" s="19" t="str">
        <f t="shared" si="1"/>
        <v>Q1</v>
      </c>
      <c r="D34" s="3">
        <v>72.85086513342452</v>
      </c>
      <c r="E34" s="4">
        <v>73.757120681330619</v>
      </c>
      <c r="F34" s="5">
        <v>65.696673352211278</v>
      </c>
      <c r="G34" s="3">
        <v>71.946329741852892</v>
      </c>
      <c r="H34" s="6">
        <v>63.467566660527822</v>
      </c>
    </row>
    <row r="35" spans="1:8" x14ac:dyDescent="0.3">
      <c r="A35" s="2" t="s">
        <v>41</v>
      </c>
      <c r="B35">
        <f t="shared" si="2"/>
        <v>2005</v>
      </c>
      <c r="C35" s="19" t="str">
        <f t="shared" si="1"/>
        <v>Q2</v>
      </c>
      <c r="D35" s="3">
        <v>72.715580164353185</v>
      </c>
      <c r="E35" s="4">
        <v>73.774520296118411</v>
      </c>
      <c r="F35" s="5">
        <v>64.447067501747426</v>
      </c>
      <c r="G35" s="3">
        <v>72.504422520242201</v>
      </c>
      <c r="H35" s="6">
        <v>61.574752689583811</v>
      </c>
    </row>
    <row r="36" spans="1:8" x14ac:dyDescent="0.3">
      <c r="A36" s="2" t="s">
        <v>42</v>
      </c>
      <c r="B36">
        <f t="shared" si="2"/>
        <v>2005</v>
      </c>
      <c r="C36" s="19" t="str">
        <f t="shared" si="1"/>
        <v>Q3</v>
      </c>
      <c r="D36" s="3">
        <v>73.327507012245164</v>
      </c>
      <c r="E36" s="4">
        <v>74.32206550309391</v>
      </c>
      <c r="F36" s="5">
        <v>65.660706152148336</v>
      </c>
      <c r="G36" s="3">
        <v>74.31632771259784</v>
      </c>
      <c r="H36" s="6">
        <v>62.404790478969865</v>
      </c>
    </row>
    <row r="37" spans="1:8" x14ac:dyDescent="0.3">
      <c r="A37" s="2" t="s">
        <v>43</v>
      </c>
      <c r="B37">
        <f t="shared" si="2"/>
        <v>2005</v>
      </c>
      <c r="C37" s="19" t="str">
        <f t="shared" si="1"/>
        <v>Q4</v>
      </c>
      <c r="D37" s="3">
        <v>72.8350665087723</v>
      </c>
      <c r="E37" s="4">
        <v>73.76049297927625</v>
      </c>
      <c r="F37" s="5">
        <v>65.840955039312888</v>
      </c>
      <c r="G37" s="3">
        <v>73.16547083132437</v>
      </c>
      <c r="H37" s="6">
        <v>63.008085423927007</v>
      </c>
    </row>
    <row r="38" spans="1:8" x14ac:dyDescent="0.3">
      <c r="A38" s="2" t="s">
        <v>44</v>
      </c>
      <c r="B38">
        <f t="shared" si="2"/>
        <v>2006</v>
      </c>
      <c r="C38" s="19" t="str">
        <f t="shared" si="1"/>
        <v>Q1</v>
      </c>
      <c r="D38" s="3">
        <v>72.682501234292019</v>
      </c>
      <c r="E38" s="4">
        <v>73.542294758576645</v>
      </c>
      <c r="F38" s="5">
        <v>66.351298835227581</v>
      </c>
      <c r="G38" s="3">
        <v>75.00522100145875</v>
      </c>
      <c r="H38" s="6">
        <v>63.043565678014424</v>
      </c>
    </row>
    <row r="39" spans="1:8" x14ac:dyDescent="0.3">
      <c r="A39" s="2" t="s">
        <v>45</v>
      </c>
      <c r="B39">
        <f t="shared" si="2"/>
        <v>2006</v>
      </c>
      <c r="C39" s="19" t="str">
        <f t="shared" si="1"/>
        <v>Q2</v>
      </c>
      <c r="D39" s="3">
        <v>72.649089571262977</v>
      </c>
      <c r="E39" s="4">
        <v>73.470213301480939</v>
      </c>
      <c r="F39" s="5">
        <v>66.772379504157925</v>
      </c>
      <c r="G39" s="3">
        <v>75.581825127406816</v>
      </c>
      <c r="H39" s="6">
        <v>63.470937009424276</v>
      </c>
    </row>
    <row r="40" spans="1:8" x14ac:dyDescent="0.3">
      <c r="A40" s="2" t="s">
        <v>46</v>
      </c>
      <c r="B40">
        <f t="shared" si="2"/>
        <v>2006</v>
      </c>
      <c r="C40" s="19" t="str">
        <f t="shared" si="1"/>
        <v>Q3</v>
      </c>
      <c r="D40" s="3">
        <v>73.093541448874262</v>
      </c>
      <c r="E40" s="4">
        <v>73.922919762371876</v>
      </c>
      <c r="F40" s="5">
        <v>67.266902719498844</v>
      </c>
      <c r="G40" s="3">
        <v>77.358837024256033</v>
      </c>
      <c r="H40" s="6">
        <v>63.523619196071401</v>
      </c>
    </row>
    <row r="41" spans="1:8" x14ac:dyDescent="0.3">
      <c r="A41" s="2" t="s">
        <v>47</v>
      </c>
      <c r="B41">
        <f t="shared" si="2"/>
        <v>2006</v>
      </c>
      <c r="C41" s="19" t="str">
        <f t="shared" si="1"/>
        <v>Q4</v>
      </c>
      <c r="D41" s="3">
        <v>72.875160472264042</v>
      </c>
      <c r="E41" s="4">
        <v>73.689075717194939</v>
      </c>
      <c r="F41" s="5">
        <v>67.235499846206835</v>
      </c>
      <c r="G41" s="3">
        <v>76.04433656163495</v>
      </c>
      <c r="H41" s="6">
        <v>63.744513774257207</v>
      </c>
    </row>
    <row r="42" spans="1:8" x14ac:dyDescent="0.3">
      <c r="A42" s="2" t="s">
        <v>48</v>
      </c>
      <c r="B42">
        <f t="shared" si="2"/>
        <v>2007</v>
      </c>
      <c r="C42" s="19" t="str">
        <f t="shared" si="1"/>
        <v>Q1</v>
      </c>
      <c r="D42" s="3">
        <v>72.275700535018316</v>
      </c>
      <c r="E42" s="4">
        <v>73.18046601098105</v>
      </c>
      <c r="F42" s="5">
        <v>66.198980968188124</v>
      </c>
      <c r="G42" s="3">
        <v>76.008619315244871</v>
      </c>
      <c r="H42" s="6">
        <v>62.393572956138975</v>
      </c>
    </row>
    <row r="43" spans="1:8" x14ac:dyDescent="0.3">
      <c r="A43" s="2" t="s">
        <v>49</v>
      </c>
      <c r="B43">
        <f t="shared" si="2"/>
        <v>2007</v>
      </c>
      <c r="C43" s="19" t="str">
        <f t="shared" si="1"/>
        <v>Q2</v>
      </c>
      <c r="D43" s="3">
        <v>72.442938281644402</v>
      </c>
      <c r="E43" s="4">
        <v>73.295576711469906</v>
      </c>
      <c r="F43" s="5">
        <v>67.038402402283452</v>
      </c>
      <c r="G43" s="3">
        <v>76.271193062975527</v>
      </c>
      <c r="H43" s="6">
        <v>63.116104425458865</v>
      </c>
    </row>
    <row r="44" spans="1:8" x14ac:dyDescent="0.3">
      <c r="A44" s="2" t="s">
        <v>50</v>
      </c>
      <c r="B44">
        <f t="shared" si="2"/>
        <v>2007</v>
      </c>
      <c r="C44" s="19" t="str">
        <f t="shared" si="1"/>
        <v>Q3</v>
      </c>
      <c r="D44" s="3">
        <v>72.957609242094676</v>
      </c>
      <c r="E44" s="4">
        <v>73.72985220848922</v>
      </c>
      <c r="F44" s="5">
        <v>67.919573060820497</v>
      </c>
      <c r="G44" s="3">
        <v>77.363557015628317</v>
      </c>
      <c r="H44" s="6">
        <v>64.032939535981527</v>
      </c>
    </row>
    <row r="45" spans="1:8" x14ac:dyDescent="0.3">
      <c r="A45" s="2" t="s">
        <v>51</v>
      </c>
      <c r="B45">
        <f t="shared" si="2"/>
        <v>2007</v>
      </c>
      <c r="C45" s="19" t="str">
        <f t="shared" si="1"/>
        <v>Q4</v>
      </c>
      <c r="D45" s="3">
        <v>73.079498002261161</v>
      </c>
      <c r="E45" s="4">
        <v>73.945836507850629</v>
      </c>
      <c r="F45" s="5">
        <v>67.602948786806166</v>
      </c>
      <c r="G45" s="3">
        <v>77.474713862395845</v>
      </c>
      <c r="H45" s="6">
        <v>63.418805343904452</v>
      </c>
    </row>
    <row r="46" spans="1:8" x14ac:dyDescent="0.3">
      <c r="A46" s="2" t="s">
        <v>52</v>
      </c>
      <c r="B46">
        <f t="shared" si="2"/>
        <v>2008</v>
      </c>
      <c r="C46" s="19" t="str">
        <f t="shared" si="1"/>
        <v>Q1</v>
      </c>
      <c r="D46" s="3">
        <v>72.74502595444126</v>
      </c>
      <c r="E46" s="4">
        <v>73.457131315144224</v>
      </c>
      <c r="F46" s="5">
        <v>68.245471884013511</v>
      </c>
      <c r="G46" s="3">
        <v>77.887002085795558</v>
      </c>
      <c r="H46" s="6">
        <v>63.951520194267971</v>
      </c>
    </row>
    <row r="47" spans="1:8" x14ac:dyDescent="0.3">
      <c r="A47" s="2" t="s">
        <v>53</v>
      </c>
      <c r="B47">
        <f t="shared" si="2"/>
        <v>2008</v>
      </c>
      <c r="C47" s="19" t="str">
        <f t="shared" si="1"/>
        <v>Q2</v>
      </c>
      <c r="D47" s="3">
        <v>72.681835712034669</v>
      </c>
      <c r="E47" s="4">
        <v>73.433558918779639</v>
      </c>
      <c r="F47" s="5">
        <v>67.971003392035925</v>
      </c>
      <c r="G47" s="3">
        <v>78.074429019365837</v>
      </c>
      <c r="H47" s="6">
        <v>63.615805694834172</v>
      </c>
    </row>
    <row r="48" spans="1:8" x14ac:dyDescent="0.3">
      <c r="A48" s="2" t="s">
        <v>54</v>
      </c>
      <c r="B48">
        <f t="shared" si="2"/>
        <v>2008</v>
      </c>
      <c r="C48" s="19" t="str">
        <f t="shared" si="1"/>
        <v>Q3</v>
      </c>
      <c r="D48" s="3">
        <v>72.710239161494201</v>
      </c>
      <c r="E48" s="4">
        <v>73.487563897313919</v>
      </c>
      <c r="F48" s="5">
        <v>68.063823639370412</v>
      </c>
      <c r="G48" s="3">
        <v>78.14515130992649</v>
      </c>
      <c r="H48" s="6">
        <v>63.86049478430651</v>
      </c>
    </row>
    <row r="49" spans="1:8" x14ac:dyDescent="0.3">
      <c r="A49" s="2" t="s">
        <v>55</v>
      </c>
      <c r="B49">
        <f t="shared" si="2"/>
        <v>2008</v>
      </c>
      <c r="C49" s="19" t="str">
        <f t="shared" si="1"/>
        <v>Q4</v>
      </c>
      <c r="D49" s="3">
        <v>72.341982867049026</v>
      </c>
      <c r="E49" s="4">
        <v>73.127717365377507</v>
      </c>
      <c r="F49" s="5">
        <v>67.762921214639462</v>
      </c>
      <c r="G49" s="3">
        <v>76.14066096055852</v>
      </c>
      <c r="H49" s="6">
        <v>64.291721949189551</v>
      </c>
    </row>
    <row r="50" spans="1:8" x14ac:dyDescent="0.3">
      <c r="A50" s="2" t="s">
        <v>56</v>
      </c>
      <c r="B50">
        <f t="shared" si="2"/>
        <v>2009</v>
      </c>
      <c r="C50" s="19" t="str">
        <f t="shared" si="1"/>
        <v>Q1</v>
      </c>
      <c r="D50" s="3">
        <v>71.440910438964295</v>
      </c>
      <c r="E50" s="4">
        <v>72.148415545531194</v>
      </c>
      <c r="F50" s="5">
        <v>67.357829954525741</v>
      </c>
      <c r="G50" s="3">
        <v>76.510613698568477</v>
      </c>
      <c r="H50" s="6">
        <v>63.443084639199832</v>
      </c>
    </row>
    <row r="51" spans="1:8" x14ac:dyDescent="0.3">
      <c r="A51" s="2" t="s">
        <v>57</v>
      </c>
      <c r="B51">
        <f t="shared" si="2"/>
        <v>2009</v>
      </c>
      <c r="C51" s="19" t="str">
        <f t="shared" si="1"/>
        <v>Q2</v>
      </c>
      <c r="D51" s="3">
        <v>70.623631132096705</v>
      </c>
      <c r="E51" s="4">
        <v>71.427885256682629</v>
      </c>
      <c r="F51" s="5">
        <v>65.880984167475503</v>
      </c>
      <c r="G51" s="3">
        <v>75.539653267103674</v>
      </c>
      <c r="H51" s="6">
        <v>61.764889522196043</v>
      </c>
    </row>
    <row r="52" spans="1:8" x14ac:dyDescent="0.3">
      <c r="A52" s="2" t="s">
        <v>58</v>
      </c>
      <c r="B52">
        <f t="shared" si="2"/>
        <v>2009</v>
      </c>
      <c r="C52" s="19" t="str">
        <f t="shared" si="1"/>
        <v>Q3</v>
      </c>
      <c r="D52" s="3">
        <v>70.881607985675316</v>
      </c>
      <c r="E52" s="4">
        <v>71.62706650626609</v>
      </c>
      <c r="F52" s="5">
        <v>66.404213704623942</v>
      </c>
      <c r="G52" s="3">
        <v>76.003785967896135</v>
      </c>
      <c r="H52" s="6">
        <v>62.272290289667723</v>
      </c>
    </row>
    <row r="53" spans="1:8" x14ac:dyDescent="0.3">
      <c r="A53" s="2" t="s">
        <v>59</v>
      </c>
      <c r="B53">
        <f t="shared" si="2"/>
        <v>2009</v>
      </c>
      <c r="C53" s="19" t="str">
        <f t="shared" si="1"/>
        <v>Q4</v>
      </c>
      <c r="D53" s="3">
        <v>70.71887773714198</v>
      </c>
      <c r="E53" s="4">
        <v>71.489299310422993</v>
      </c>
      <c r="F53" s="5">
        <v>66.115749987942309</v>
      </c>
      <c r="G53" s="3">
        <v>75.379145040588924</v>
      </c>
      <c r="H53" s="6">
        <v>62.298819840234501</v>
      </c>
    </row>
    <row r="54" spans="1:8" x14ac:dyDescent="0.3">
      <c r="A54" s="2" t="s">
        <v>60</v>
      </c>
      <c r="B54">
        <f t="shared" si="2"/>
        <v>2010</v>
      </c>
      <c r="C54" s="19" t="str">
        <f t="shared" si="1"/>
        <v>Q1</v>
      </c>
      <c r="D54" s="3">
        <v>69.963551543780127</v>
      </c>
      <c r="E54" s="4">
        <v>70.713163625342105</v>
      </c>
      <c r="F54" s="5">
        <v>65.536764574082952</v>
      </c>
      <c r="G54" s="3">
        <v>74.342291655845543</v>
      </c>
      <c r="H54" s="6">
        <v>61.750795148080385</v>
      </c>
    </row>
    <row r="55" spans="1:8" x14ac:dyDescent="0.3">
      <c r="A55" s="2" t="s">
        <v>61</v>
      </c>
      <c r="B55">
        <f t="shared" si="2"/>
        <v>2010</v>
      </c>
      <c r="C55" s="19" t="str">
        <f t="shared" si="1"/>
        <v>Q2</v>
      </c>
      <c r="D55" s="3">
        <v>70.212233799767816</v>
      </c>
      <c r="E55" s="4">
        <v>70.876577679615465</v>
      </c>
      <c r="F55" s="5">
        <v>66.348875061920069</v>
      </c>
      <c r="G55" s="3">
        <v>75.326592129659588</v>
      </c>
      <c r="H55" s="6">
        <v>62.324139750461683</v>
      </c>
    </row>
    <row r="56" spans="1:8" x14ac:dyDescent="0.3">
      <c r="A56" s="2" t="s">
        <v>62</v>
      </c>
      <c r="B56">
        <f t="shared" si="2"/>
        <v>2010</v>
      </c>
      <c r="C56" s="19" t="str">
        <f t="shared" si="1"/>
        <v>Q3</v>
      </c>
      <c r="D56" s="3">
        <v>70.962918237796487</v>
      </c>
      <c r="E56" s="4">
        <v>71.54100008362353</v>
      </c>
      <c r="F56" s="5">
        <v>67.616880465643476</v>
      </c>
      <c r="G56" s="3">
        <v>75.706617378504319</v>
      </c>
      <c r="H56" s="6">
        <v>63.893901003846331</v>
      </c>
    </row>
    <row r="57" spans="1:8" x14ac:dyDescent="0.3">
      <c r="A57" s="2" t="s">
        <v>63</v>
      </c>
      <c r="B57">
        <f t="shared" si="2"/>
        <v>2010</v>
      </c>
      <c r="C57" s="19" t="str">
        <f t="shared" si="1"/>
        <v>Q4</v>
      </c>
      <c r="D57" s="3">
        <v>70.555346803515178</v>
      </c>
      <c r="E57" s="4">
        <v>71.156808166506522</v>
      </c>
      <c r="F57" s="5">
        <v>67.077780489311863</v>
      </c>
      <c r="G57" s="3">
        <v>75.702030542854885</v>
      </c>
      <c r="H57" s="6">
        <v>63.17201847514832</v>
      </c>
    </row>
    <row r="58" spans="1:8" x14ac:dyDescent="0.3">
      <c r="A58" s="2" t="s">
        <v>64</v>
      </c>
      <c r="B58">
        <f t="shared" si="2"/>
        <v>2011</v>
      </c>
      <c r="C58" s="19" t="str">
        <f t="shared" si="1"/>
        <v>Q1</v>
      </c>
      <c r="D58" s="3">
        <v>70.311964341002565</v>
      </c>
      <c r="E58" s="4">
        <v>70.899134970405299</v>
      </c>
      <c r="F58" s="5">
        <v>67.095114391864485</v>
      </c>
      <c r="G58" s="3">
        <v>75.832603285602431</v>
      </c>
      <c r="H58" s="6">
        <v>62.917322895941332</v>
      </c>
    </row>
    <row r="59" spans="1:8" x14ac:dyDescent="0.3">
      <c r="A59" s="2" t="s">
        <v>65</v>
      </c>
      <c r="B59">
        <f t="shared" si="2"/>
        <v>2011</v>
      </c>
      <c r="C59" s="19" t="str">
        <f t="shared" si="1"/>
        <v>Q2</v>
      </c>
      <c r="D59" s="3">
        <v>70.248498007638688</v>
      </c>
      <c r="E59" s="4">
        <v>70.838726233411137</v>
      </c>
      <c r="F59" s="5">
        <v>66.99865254697157</v>
      </c>
      <c r="G59" s="3">
        <v>76.933874169964113</v>
      </c>
      <c r="H59" s="6">
        <v>62.395911325701825</v>
      </c>
    </row>
    <row r="60" spans="1:8" x14ac:dyDescent="0.3">
      <c r="A60" s="2" t="s">
        <v>66</v>
      </c>
      <c r="B60">
        <f t="shared" si="2"/>
        <v>2011</v>
      </c>
      <c r="C60" s="19" t="str">
        <f t="shared" si="1"/>
        <v>Q3</v>
      </c>
      <c r="D60" s="3">
        <v>70.351423635101156</v>
      </c>
      <c r="E60" s="4">
        <v>70.950087374478528</v>
      </c>
      <c r="F60" s="5">
        <v>67.051240020135864</v>
      </c>
      <c r="G60" s="3">
        <v>76.475285193117571</v>
      </c>
      <c r="H60" s="6">
        <v>62.748331160766128</v>
      </c>
    </row>
    <row r="61" spans="1:8" x14ac:dyDescent="0.3">
      <c r="A61" s="2" t="s">
        <v>67</v>
      </c>
      <c r="B61">
        <f t="shared" si="2"/>
        <v>2011</v>
      </c>
      <c r="C61" s="19" t="str">
        <f t="shared" si="1"/>
        <v>Q4</v>
      </c>
      <c r="D61" s="3">
        <v>70.374693912796758</v>
      </c>
      <c r="E61" s="4">
        <v>71.152633314776253</v>
      </c>
      <c r="F61" s="5">
        <v>66.183565595327167</v>
      </c>
      <c r="G61" s="3">
        <v>75.351370566755477</v>
      </c>
      <c r="H61" s="6">
        <v>61.890858220014465</v>
      </c>
    </row>
    <row r="62" spans="1:8" x14ac:dyDescent="0.3">
      <c r="A62" s="2" t="s">
        <v>68</v>
      </c>
      <c r="B62">
        <f t="shared" si="2"/>
        <v>2012</v>
      </c>
      <c r="C62" s="19" t="str">
        <f t="shared" si="1"/>
        <v>Q1</v>
      </c>
      <c r="D62" s="3">
        <v>70.243786134604207</v>
      </c>
      <c r="E62" s="4">
        <v>71.156377530863793</v>
      </c>
      <c r="F62" s="5">
        <v>65.248958356939596</v>
      </c>
      <c r="G62" s="3">
        <v>73.969402439748222</v>
      </c>
      <c r="H62" s="6">
        <v>60.900758366361153</v>
      </c>
    </row>
    <row r="63" spans="1:8" x14ac:dyDescent="0.3">
      <c r="A63" s="2" t="s">
        <v>69</v>
      </c>
      <c r="B63">
        <f t="shared" si="2"/>
        <v>2012</v>
      </c>
      <c r="C63" s="19" t="str">
        <f t="shared" si="1"/>
        <v>Q2</v>
      </c>
      <c r="D63" s="3">
        <v>70.710796072420806</v>
      </c>
      <c r="E63" s="4">
        <v>71.446862150638864</v>
      </c>
      <c r="F63" s="5">
        <v>66.809584734136735</v>
      </c>
      <c r="G63" s="3">
        <v>74.500919355939956</v>
      </c>
      <c r="H63" s="6">
        <v>62.935117924335437</v>
      </c>
    </row>
    <row r="64" spans="1:8" x14ac:dyDescent="0.3">
      <c r="A64" s="2" t="s">
        <v>70</v>
      </c>
      <c r="B64">
        <f t="shared" si="2"/>
        <v>2012</v>
      </c>
      <c r="C64" s="19" t="str">
        <f t="shared" si="1"/>
        <v>Q3</v>
      </c>
      <c r="D64" s="3">
        <v>71.364509749214207</v>
      </c>
      <c r="E64" s="4">
        <v>72.016785251831081</v>
      </c>
      <c r="F64" s="5">
        <v>67.912841402665748</v>
      </c>
      <c r="G64" s="3">
        <v>76.086722400474457</v>
      </c>
      <c r="H64" s="6">
        <v>64.033700571678366</v>
      </c>
    </row>
    <row r="65" spans="1:8" x14ac:dyDescent="0.3">
      <c r="A65" s="2" t="s">
        <v>71</v>
      </c>
      <c r="B65">
        <f t="shared" si="2"/>
        <v>2012</v>
      </c>
      <c r="C65" s="19" t="str">
        <f t="shared" si="1"/>
        <v>Q4</v>
      </c>
      <c r="D65" s="3">
        <v>71.564582332944582</v>
      </c>
      <c r="E65" s="4">
        <v>72.321068120543757</v>
      </c>
      <c r="F65" s="5">
        <v>67.681614521321848</v>
      </c>
      <c r="G65" s="3">
        <v>76.534268521318126</v>
      </c>
      <c r="H65" s="6">
        <v>63.431361949375443</v>
      </c>
    </row>
    <row r="66" spans="1:8" x14ac:dyDescent="0.3">
      <c r="A66" s="2" t="s">
        <v>72</v>
      </c>
      <c r="B66">
        <f t="shared" ref="B66:B97" si="3">(RIGHT(TRIM(A66),4))*1</f>
        <v>2013</v>
      </c>
      <c r="C66" s="19" t="str">
        <f t="shared" si="1"/>
        <v>Q1</v>
      </c>
      <c r="D66" s="3">
        <v>70.959156553656996</v>
      </c>
      <c r="E66" s="4">
        <v>71.713346890039958</v>
      </c>
      <c r="F66" s="5">
        <v>67.095993639928935</v>
      </c>
      <c r="G66" s="3">
        <v>75.456493028382638</v>
      </c>
      <c r="H66" s="6">
        <v>63.001369991962179</v>
      </c>
    </row>
    <row r="67" spans="1:8" x14ac:dyDescent="0.3">
      <c r="A67" s="2" t="s">
        <v>73</v>
      </c>
      <c r="B67">
        <f t="shared" si="3"/>
        <v>2013</v>
      </c>
      <c r="C67" s="19" t="str">
        <f t="shared" ref="C67:C118" si="4">IF(LEFT(A67,3)="Jan","Q1",IF(LEFT(A67,3)="Apr","Q2",IF(LEFT(A67,3)="Jul","Q3",IF(LEFT(A67,3)="Oct","Q4",""))))</f>
        <v>Q2</v>
      </c>
      <c r="D67" s="3">
        <v>71.145253265185232</v>
      </c>
      <c r="E67" s="4">
        <v>71.851135388384307</v>
      </c>
      <c r="F67" s="5">
        <v>67.648992315912921</v>
      </c>
      <c r="G67" s="3">
        <v>76.88417858279368</v>
      </c>
      <c r="H67" s="6">
        <v>63.102506653348414</v>
      </c>
    </row>
    <row r="68" spans="1:8" x14ac:dyDescent="0.3">
      <c r="A68" s="2" t="s">
        <v>74</v>
      </c>
      <c r="B68">
        <f t="shared" si="3"/>
        <v>2013</v>
      </c>
      <c r="C68" s="19" t="str">
        <f t="shared" si="4"/>
        <v>Q3</v>
      </c>
      <c r="D68" s="3">
        <v>71.871223036290829</v>
      </c>
      <c r="E68" s="4">
        <v>72.514193205723345</v>
      </c>
      <c r="F68" s="5">
        <v>68.601433017617396</v>
      </c>
      <c r="G68" s="3">
        <v>77.690527239768684</v>
      </c>
      <c r="H68" s="6">
        <v>64.204561020561897</v>
      </c>
    </row>
    <row r="69" spans="1:8" x14ac:dyDescent="0.3">
      <c r="A69" s="2" t="s">
        <v>75</v>
      </c>
      <c r="B69">
        <f t="shared" si="3"/>
        <v>2013</v>
      </c>
      <c r="C69" s="19" t="str">
        <f t="shared" si="4"/>
        <v>Q4</v>
      </c>
      <c r="D69" s="3">
        <v>72.164099834463499</v>
      </c>
      <c r="E69" s="4">
        <v>72.792193899243699</v>
      </c>
      <c r="F69" s="5">
        <v>69.076615190014394</v>
      </c>
      <c r="G69" s="3">
        <v>77.218194313594296</v>
      </c>
      <c r="H69" s="6">
        <v>64.844914705451387</v>
      </c>
    </row>
    <row r="70" spans="1:8" x14ac:dyDescent="0.3">
      <c r="A70" s="2" t="s">
        <v>76</v>
      </c>
      <c r="B70">
        <f t="shared" si="3"/>
        <v>2014</v>
      </c>
      <c r="C70" s="19" t="str">
        <f t="shared" si="4"/>
        <v>Q1</v>
      </c>
      <c r="D70" s="3">
        <v>72.253286986944644</v>
      </c>
      <c r="E70" s="4">
        <v>72.930050016281612</v>
      </c>
      <c r="F70" s="5">
        <v>69.048369687108107</v>
      </c>
      <c r="G70" s="3">
        <v>77.844026292800478</v>
      </c>
      <c r="H70" s="6">
        <v>64.537946169665531</v>
      </c>
    </row>
    <row r="71" spans="1:8" x14ac:dyDescent="0.3">
      <c r="A71" s="7" t="s">
        <v>77</v>
      </c>
      <c r="B71">
        <f t="shared" si="3"/>
        <v>2014</v>
      </c>
      <c r="C71" s="19" t="str">
        <f t="shared" si="4"/>
        <v>Q2</v>
      </c>
      <c r="D71" s="3">
        <v>72.648837083755595</v>
      </c>
      <c r="E71" s="4">
        <v>73.153297580012875</v>
      </c>
      <c r="F71" s="5">
        <v>70.086331660569783</v>
      </c>
      <c r="G71" s="3">
        <v>79.314855922119307</v>
      </c>
      <c r="H71" s="6">
        <v>65.270078261185361</v>
      </c>
    </row>
    <row r="72" spans="1:8" x14ac:dyDescent="0.3">
      <c r="A72" s="7" t="s">
        <v>78</v>
      </c>
      <c r="B72">
        <f t="shared" si="3"/>
        <v>2014</v>
      </c>
      <c r="C72" s="19" t="str">
        <f t="shared" si="4"/>
        <v>Q3</v>
      </c>
      <c r="D72" s="3">
        <v>73.246633541807739</v>
      </c>
      <c r="E72" s="4">
        <v>73.766055811351706</v>
      </c>
      <c r="F72" s="5">
        <v>70.603766244938953</v>
      </c>
      <c r="G72" s="3">
        <v>78.326164325215203</v>
      </c>
      <c r="H72" s="6">
        <v>66.49990078495253</v>
      </c>
    </row>
    <row r="73" spans="1:8" x14ac:dyDescent="0.3">
      <c r="A73" s="7" t="s">
        <v>79</v>
      </c>
      <c r="B73">
        <f t="shared" si="3"/>
        <v>2014</v>
      </c>
      <c r="C73" s="19" t="str">
        <f t="shared" si="4"/>
        <v>Q4</v>
      </c>
      <c r="D73" s="3">
        <v>73.374172583082427</v>
      </c>
      <c r="E73" s="4">
        <v>74.05528046232665</v>
      </c>
      <c r="F73" s="5">
        <v>70.006841218333037</v>
      </c>
      <c r="G73" s="3">
        <v>79.343339935262307</v>
      </c>
      <c r="H73" s="6">
        <v>64.940057200811637</v>
      </c>
    </row>
    <row r="74" spans="1:8" x14ac:dyDescent="0.3">
      <c r="A74" s="7" t="s">
        <v>80</v>
      </c>
      <c r="B74">
        <f t="shared" si="3"/>
        <v>2015</v>
      </c>
      <c r="C74" s="19" t="str">
        <f t="shared" si="4"/>
        <v>Q1</v>
      </c>
      <c r="D74" s="3">
        <v>73.249022569804183</v>
      </c>
      <c r="E74" s="4">
        <v>73.973957165171072</v>
      </c>
      <c r="F74" s="5">
        <v>69.87342113727297</v>
      </c>
      <c r="G74" s="3">
        <v>79.261801189032965</v>
      </c>
      <c r="H74" s="6">
        <v>64.729049060486773</v>
      </c>
    </row>
    <row r="75" spans="1:8" x14ac:dyDescent="0.3">
      <c r="A75" s="7" t="s">
        <v>81</v>
      </c>
      <c r="B75">
        <f t="shared" si="3"/>
        <v>2015</v>
      </c>
      <c r="C75" s="19" t="str">
        <f t="shared" si="4"/>
        <v>Q2</v>
      </c>
      <c r="D75" s="3">
        <v>73.205676786676875</v>
      </c>
      <c r="E75" s="4">
        <v>73.814303184736445</v>
      </c>
      <c r="F75" s="5">
        <v>70.597421147825429</v>
      </c>
      <c r="G75" s="3">
        <v>79.529223904241647</v>
      </c>
      <c r="H75" s="6">
        <v>65.504945150716054</v>
      </c>
    </row>
    <row r="76" spans="1:8" x14ac:dyDescent="0.3">
      <c r="A76" s="7" t="s">
        <v>82</v>
      </c>
      <c r="B76">
        <f t="shared" si="3"/>
        <v>2015</v>
      </c>
      <c r="C76" s="19" t="str">
        <f t="shared" si="4"/>
        <v>Q3</v>
      </c>
      <c r="D76" s="3">
        <v>73.970852383922931</v>
      </c>
      <c r="E76" s="4">
        <v>74.458223268931206</v>
      </c>
      <c r="F76" s="5">
        <v>71.99013848874452</v>
      </c>
      <c r="G76" s="3">
        <v>80.441245036466142</v>
      </c>
      <c r="H76" s="6">
        <v>66.978585024073652</v>
      </c>
    </row>
    <row r="77" spans="1:8" x14ac:dyDescent="0.3">
      <c r="A77" s="7" t="s">
        <v>83</v>
      </c>
      <c r="B77">
        <f t="shared" si="3"/>
        <v>2015</v>
      </c>
      <c r="C77" s="19" t="str">
        <f t="shared" si="4"/>
        <v>Q4</v>
      </c>
      <c r="D77" s="3">
        <v>74.283406389043577</v>
      </c>
      <c r="E77" s="4">
        <v>74.921728200706454</v>
      </c>
      <c r="F77" s="5">
        <v>71.441441390113752</v>
      </c>
      <c r="G77" s="3">
        <v>79.800154239012372</v>
      </c>
      <c r="H77" s="6">
        <v>66.475025317547903</v>
      </c>
    </row>
    <row r="78" spans="1:8" x14ac:dyDescent="0.3">
      <c r="A78" s="7" t="s">
        <v>84</v>
      </c>
      <c r="B78">
        <f t="shared" si="3"/>
        <v>2016</v>
      </c>
      <c r="C78" s="19" t="str">
        <f t="shared" si="4"/>
        <v>Q1</v>
      </c>
      <c r="D78" s="3">
        <v>73.970410132045771</v>
      </c>
      <c r="E78" s="4">
        <v>74.611107839622477</v>
      </c>
      <c r="F78" s="5">
        <v>71.15279291807893</v>
      </c>
      <c r="G78" s="3">
        <v>78.681318126475048</v>
      </c>
      <c r="H78" s="6">
        <v>66.458333614439027</v>
      </c>
    </row>
    <row r="79" spans="1:8" x14ac:dyDescent="0.3">
      <c r="A79" s="7" t="s">
        <v>85</v>
      </c>
      <c r="B79">
        <f t="shared" si="3"/>
        <v>2016</v>
      </c>
      <c r="C79" s="19" t="str">
        <f t="shared" si="4"/>
        <v>Q2</v>
      </c>
      <c r="D79" s="3">
        <v>74.243751757205203</v>
      </c>
      <c r="E79" s="4">
        <v>74.747775441443849</v>
      </c>
      <c r="F79" s="5">
        <v>72.19324575253286</v>
      </c>
      <c r="G79" s="3">
        <v>79.402276728974059</v>
      </c>
      <c r="H79" s="6">
        <v>67.48445470546902</v>
      </c>
    </row>
    <row r="80" spans="1:8" x14ac:dyDescent="0.3">
      <c r="A80" s="7" t="s">
        <v>86</v>
      </c>
      <c r="B80">
        <f t="shared" si="3"/>
        <v>2016</v>
      </c>
      <c r="C80" s="19" t="str">
        <f t="shared" si="4"/>
        <v>Q3</v>
      </c>
      <c r="D80" s="3">
        <v>74.630481579262224</v>
      </c>
      <c r="E80" s="4">
        <v>75.032417031747727</v>
      </c>
      <c r="F80" s="5">
        <v>72.86758813283916</v>
      </c>
      <c r="G80" s="3">
        <v>81.009177542055738</v>
      </c>
      <c r="H80" s="6">
        <v>67.784416462913782</v>
      </c>
    </row>
    <row r="81" spans="1:8" x14ac:dyDescent="0.3">
      <c r="A81" s="7" t="s">
        <v>87</v>
      </c>
      <c r="B81">
        <f t="shared" si="3"/>
        <v>2016</v>
      </c>
      <c r="C81" s="19" t="str">
        <f t="shared" si="4"/>
        <v>Q4</v>
      </c>
      <c r="D81" s="3">
        <v>74.735220688256504</v>
      </c>
      <c r="E81" s="4">
        <v>75.214352673978155</v>
      </c>
      <c r="F81" s="5">
        <v>72.793839694978928</v>
      </c>
      <c r="G81" s="3">
        <v>80.779217101502127</v>
      </c>
      <c r="H81" s="6">
        <v>67.948914269293695</v>
      </c>
    </row>
    <row r="82" spans="1:8" x14ac:dyDescent="0.3">
      <c r="A82" s="7" t="s">
        <v>88</v>
      </c>
      <c r="B82">
        <f t="shared" si="3"/>
        <v>2017</v>
      </c>
      <c r="C82" s="19" t="str">
        <f t="shared" si="4"/>
        <v>Q1</v>
      </c>
      <c r="D82" s="3">
        <v>74.619398139183332</v>
      </c>
      <c r="E82" s="4">
        <v>75.285596176522986</v>
      </c>
      <c r="F82" s="5">
        <v>71.854148737197917</v>
      </c>
      <c r="G82" s="3">
        <v>79.445905091235318</v>
      </c>
      <c r="H82" s="6">
        <v>67.161240122217052</v>
      </c>
    </row>
    <row r="83" spans="1:8" x14ac:dyDescent="0.3">
      <c r="A83" s="7" t="s">
        <v>89</v>
      </c>
      <c r="B83">
        <f t="shared" si="3"/>
        <v>2017</v>
      </c>
      <c r="C83" s="19" t="str">
        <f t="shared" si="4"/>
        <v>Q2</v>
      </c>
      <c r="D83" s="3">
        <v>74.940065899805703</v>
      </c>
      <c r="E83" s="4">
        <v>75.513068543932434</v>
      </c>
      <c r="F83" s="5">
        <v>72.530222363552028</v>
      </c>
      <c r="G83" s="3">
        <v>80.576995183493196</v>
      </c>
      <c r="H83" s="6">
        <v>67.584551540897721</v>
      </c>
    </row>
    <row r="84" spans="1:8" x14ac:dyDescent="0.3">
      <c r="A84" s="7" t="s">
        <v>90</v>
      </c>
      <c r="B84">
        <f t="shared" si="3"/>
        <v>2017</v>
      </c>
      <c r="C84" s="19" t="str">
        <f t="shared" si="4"/>
        <v>Q3</v>
      </c>
      <c r="D84" s="3">
        <v>75.178426795612722</v>
      </c>
      <c r="E84" s="4">
        <v>75.511298472400966</v>
      </c>
      <c r="F84" s="5">
        <v>73.84895888785293</v>
      </c>
      <c r="G84" s="3">
        <v>81.782884837141822</v>
      </c>
      <c r="H84" s="6">
        <v>68.881550194567367</v>
      </c>
    </row>
    <row r="85" spans="1:8" x14ac:dyDescent="0.3">
      <c r="A85" s="7" t="s">
        <v>91</v>
      </c>
      <c r="B85">
        <f t="shared" si="3"/>
        <v>2017</v>
      </c>
      <c r="C85" s="19" t="str">
        <f t="shared" si="4"/>
        <v>Q4</v>
      </c>
      <c r="D85" s="3">
        <v>75.34838172974149</v>
      </c>
      <c r="E85" s="4">
        <v>75.767292438245832</v>
      </c>
      <c r="F85" s="5">
        <v>73.549142588421304</v>
      </c>
      <c r="G85" s="3">
        <v>81.593890376960815</v>
      </c>
      <c r="H85" s="6">
        <v>68.475217336514078</v>
      </c>
    </row>
    <row r="86" spans="1:8" x14ac:dyDescent="0.3">
      <c r="A86" s="7" t="s">
        <v>92</v>
      </c>
      <c r="B86">
        <f t="shared" si="3"/>
        <v>2018</v>
      </c>
      <c r="C86" s="19" t="str">
        <f t="shared" si="4"/>
        <v>Q1</v>
      </c>
      <c r="D86" s="3">
        <v>75.419356583889936</v>
      </c>
      <c r="E86" s="4">
        <v>75.804840422391862</v>
      </c>
      <c r="F86" s="5">
        <v>73.761848172930385</v>
      </c>
      <c r="G86" s="3">
        <v>81.87174822094633</v>
      </c>
      <c r="H86" s="6">
        <v>68.746356393315196</v>
      </c>
    </row>
    <row r="87" spans="1:8" x14ac:dyDescent="0.3">
      <c r="A87" s="7" t="s">
        <v>93</v>
      </c>
      <c r="B87">
        <f t="shared" si="3"/>
        <v>2018</v>
      </c>
      <c r="C87" s="19" t="str">
        <f t="shared" si="4"/>
        <v>Q2</v>
      </c>
      <c r="D87" s="3">
        <v>75.392864763160958</v>
      </c>
      <c r="E87" s="4">
        <v>75.740312740220517</v>
      </c>
      <c r="F87" s="5">
        <v>73.971859403192624</v>
      </c>
      <c r="G87" s="3">
        <v>82.751947081661868</v>
      </c>
      <c r="H87" s="6">
        <v>68.659088533885864</v>
      </c>
    </row>
    <row r="88" spans="1:8" x14ac:dyDescent="0.3">
      <c r="A88" s="7" t="s">
        <v>94</v>
      </c>
      <c r="B88">
        <f t="shared" si="3"/>
        <v>2018</v>
      </c>
      <c r="C88" s="19" t="str">
        <f t="shared" si="4"/>
        <v>Q3</v>
      </c>
      <c r="D88" s="3">
        <v>75.718098403582758</v>
      </c>
      <c r="E88" s="4">
        <v>76.079764600716373</v>
      </c>
      <c r="F88" s="5">
        <v>74.177143318406763</v>
      </c>
      <c r="G88" s="3">
        <v>82.272824752771641</v>
      </c>
      <c r="H88" s="6">
        <v>69.343571756948805</v>
      </c>
    </row>
    <row r="89" spans="1:8" x14ac:dyDescent="0.3">
      <c r="A89" s="7" t="s">
        <v>95</v>
      </c>
      <c r="B89">
        <f t="shared" si="3"/>
        <v>2018</v>
      </c>
      <c r="C89" s="19" t="str">
        <f t="shared" si="4"/>
        <v>Q4</v>
      </c>
      <c r="D89" s="3">
        <v>75.999786067148264</v>
      </c>
      <c r="E89" s="4">
        <v>76.322023884517023</v>
      </c>
      <c r="F89" s="5">
        <v>74.686359711109645</v>
      </c>
      <c r="G89" s="3">
        <v>82.604567077234918</v>
      </c>
      <c r="H89" s="6">
        <v>70.057268353757948</v>
      </c>
    </row>
    <row r="90" spans="1:8" x14ac:dyDescent="0.3">
      <c r="A90" s="8" t="s">
        <v>96</v>
      </c>
      <c r="B90">
        <f t="shared" si="3"/>
        <v>2019</v>
      </c>
      <c r="C90" s="19" t="str">
        <f t="shared" si="4"/>
        <v>Q1</v>
      </c>
      <c r="D90" s="9">
        <v>75.887170268643402</v>
      </c>
      <c r="E90" s="10">
        <v>76.233543634548468</v>
      </c>
      <c r="F90" s="11">
        <v>74.493354719810227</v>
      </c>
      <c r="G90" s="9">
        <v>82.768352556894541</v>
      </c>
      <c r="H90" s="12">
        <v>69.489347145284412</v>
      </c>
    </row>
    <row r="91" spans="1:8" x14ac:dyDescent="0.3">
      <c r="A91" s="7" t="s">
        <v>97</v>
      </c>
      <c r="B91">
        <f t="shared" si="3"/>
        <v>2019</v>
      </c>
      <c r="C91" s="19" t="str">
        <f t="shared" si="4"/>
        <v>Q2</v>
      </c>
      <c r="D91" s="3">
        <v>75.885088242965907</v>
      </c>
      <c r="E91" s="4">
        <v>76.233926094291604</v>
      </c>
      <c r="F91" s="5">
        <v>74.439177811626024</v>
      </c>
      <c r="G91" s="3">
        <v>82.995655222868933</v>
      </c>
      <c r="H91" s="6">
        <v>69.148511854322365</v>
      </c>
    </row>
    <row r="92" spans="1:8" x14ac:dyDescent="0.3">
      <c r="A92" s="7" t="s">
        <v>98</v>
      </c>
      <c r="B92">
        <f t="shared" si="3"/>
        <v>2019</v>
      </c>
      <c r="C92" s="19" t="str">
        <f t="shared" si="4"/>
        <v>Q3</v>
      </c>
      <c r="D92" s="3">
        <v>76.068500677692839</v>
      </c>
      <c r="E92" s="4">
        <v>76.232053614364432</v>
      </c>
      <c r="F92" s="5">
        <v>75.455024383745851</v>
      </c>
      <c r="G92" s="3">
        <v>83.111671728989052</v>
      </c>
      <c r="H92" s="6">
        <v>70.860488377776505</v>
      </c>
    </row>
    <row r="93" spans="1:8" x14ac:dyDescent="0.3">
      <c r="A93" s="7" t="s">
        <v>99</v>
      </c>
      <c r="B93">
        <f t="shared" si="3"/>
        <v>2019</v>
      </c>
      <c r="C93" s="19" t="str">
        <f t="shared" si="4"/>
        <v>Q4</v>
      </c>
      <c r="D93" s="3">
        <v>76.512777488578649</v>
      </c>
      <c r="E93" s="4">
        <v>76.786760448701969</v>
      </c>
      <c r="F93" s="5">
        <v>75.375700717187073</v>
      </c>
      <c r="G93" s="3">
        <v>82.869847799344683</v>
      </c>
      <c r="H93" s="6">
        <v>70.68459136746651</v>
      </c>
    </row>
    <row r="94" spans="1:8" x14ac:dyDescent="0.3">
      <c r="A94" s="13" t="s">
        <v>100</v>
      </c>
      <c r="B94">
        <f t="shared" si="3"/>
        <v>2020</v>
      </c>
      <c r="C94" s="19" t="str">
        <f t="shared" si="4"/>
        <v>Q1</v>
      </c>
      <c r="D94" s="3">
        <v>75.923918561110142</v>
      </c>
      <c r="E94" s="4">
        <v>76.007740333589652</v>
      </c>
      <c r="F94" s="5">
        <v>75.760707762866176</v>
      </c>
      <c r="G94" s="3">
        <v>82.654930028617301</v>
      </c>
      <c r="H94" s="6">
        <v>71.344527629701062</v>
      </c>
    </row>
    <row r="95" spans="1:8" x14ac:dyDescent="0.3">
      <c r="A95" s="13" t="s">
        <v>101</v>
      </c>
      <c r="B95">
        <f t="shared" si="3"/>
        <v>2020</v>
      </c>
      <c r="C95" s="19" t="str">
        <f t="shared" si="4"/>
        <v>Q2</v>
      </c>
      <c r="D95" s="3">
        <v>75.214759293301711</v>
      </c>
      <c r="E95" s="4">
        <v>75.242478535316067</v>
      </c>
      <c r="F95" s="5">
        <v>75.322431479998343</v>
      </c>
      <c r="G95" s="3">
        <v>81.193974942135057</v>
      </c>
      <c r="H95" s="6">
        <v>71.625709508392305</v>
      </c>
    </row>
    <row r="96" spans="1:8" x14ac:dyDescent="0.3">
      <c r="A96" s="13" t="s">
        <v>102</v>
      </c>
      <c r="B96">
        <f t="shared" si="3"/>
        <v>2020</v>
      </c>
      <c r="C96" s="19" t="str">
        <f t="shared" si="4"/>
        <v>Q3</v>
      </c>
      <c r="D96" s="3">
        <v>74.659128700499465</v>
      </c>
      <c r="E96" s="4">
        <v>74.710380780844289</v>
      </c>
      <c r="F96" s="5">
        <v>74.608590271699256</v>
      </c>
      <c r="G96" s="3">
        <v>80.532844646264294</v>
      </c>
      <c r="H96" s="6">
        <v>71.240645667581731</v>
      </c>
    </row>
    <row r="97" spans="1:8" x14ac:dyDescent="0.3">
      <c r="A97" s="13" t="s">
        <v>103</v>
      </c>
      <c r="B97">
        <f t="shared" si="3"/>
        <v>2020</v>
      </c>
      <c r="C97" s="19" t="str">
        <f t="shared" si="4"/>
        <v>Q4</v>
      </c>
      <c r="D97" s="3">
        <v>74.451423985687342</v>
      </c>
      <c r="E97" s="4">
        <v>74.592672260698933</v>
      </c>
      <c r="F97" s="5">
        <v>73.917655125956912</v>
      </c>
      <c r="G97" s="3">
        <v>79.038989785044294</v>
      </c>
      <c r="H97" s="6">
        <v>70.961539578760721</v>
      </c>
    </row>
    <row r="98" spans="1:8" x14ac:dyDescent="0.3">
      <c r="A98" s="13" t="s">
        <v>104</v>
      </c>
      <c r="B98">
        <f t="shared" ref="B98:B118" si="5">(RIGHT(TRIM(A98),4))*1</f>
        <v>2021</v>
      </c>
      <c r="C98" s="19" t="str">
        <f t="shared" si="4"/>
        <v>Q1</v>
      </c>
      <c r="D98" s="3">
        <v>74.423004279882647</v>
      </c>
      <c r="E98" s="4">
        <v>74.486597727159037</v>
      </c>
      <c r="F98" s="5">
        <v>74.368012669095179</v>
      </c>
      <c r="G98" s="3">
        <v>79.251335449693755</v>
      </c>
      <c r="H98" s="6">
        <v>71.607832328516423</v>
      </c>
    </row>
    <row r="99" spans="1:8" x14ac:dyDescent="0.3">
      <c r="A99" s="13" t="s">
        <v>105</v>
      </c>
      <c r="B99">
        <f t="shared" si="5"/>
        <v>2021</v>
      </c>
      <c r="C99" s="19" t="str">
        <f t="shared" si="4"/>
        <v>Q2</v>
      </c>
      <c r="D99" s="3">
        <v>74.520896933316294</v>
      </c>
      <c r="E99" s="4">
        <v>74.592761422748481</v>
      </c>
      <c r="F99" s="5">
        <v>74.500445285147308</v>
      </c>
      <c r="G99" s="3">
        <v>80.976901215889981</v>
      </c>
      <c r="H99" s="6">
        <v>71.05853074163187</v>
      </c>
    </row>
    <row r="100" spans="1:8" x14ac:dyDescent="0.3">
      <c r="A100" s="13" t="s">
        <v>106</v>
      </c>
      <c r="B100">
        <f t="shared" si="5"/>
        <v>2021</v>
      </c>
      <c r="C100" s="19" t="str">
        <f t="shared" si="4"/>
        <v>Q3</v>
      </c>
      <c r="D100" s="3">
        <v>75.099335460594986</v>
      </c>
      <c r="E100" s="4">
        <v>75.175184118970705</v>
      </c>
      <c r="F100" s="5">
        <v>74.994872155833676</v>
      </c>
      <c r="G100" s="3">
        <v>82.035330707162601</v>
      </c>
      <c r="H100" s="6">
        <v>71.353524852972953</v>
      </c>
    </row>
    <row r="101" spans="1:8" x14ac:dyDescent="0.3">
      <c r="A101" s="13" t="s">
        <v>107</v>
      </c>
      <c r="B101">
        <f t="shared" si="5"/>
        <v>2021</v>
      </c>
      <c r="C101" s="19" t="str">
        <f t="shared" si="4"/>
        <v>Q4</v>
      </c>
      <c r="D101" s="3">
        <v>75.190902781336348</v>
      </c>
      <c r="E101" s="4">
        <v>75.316941263754529</v>
      </c>
      <c r="F101" s="5">
        <v>74.894734995947104</v>
      </c>
      <c r="G101" s="3">
        <v>83.268143826816015</v>
      </c>
      <c r="H101" s="6">
        <v>70.672368002873029</v>
      </c>
    </row>
    <row r="102" spans="1:8" x14ac:dyDescent="0.3">
      <c r="A102" s="13" t="s">
        <v>108</v>
      </c>
      <c r="B102">
        <f t="shared" si="5"/>
        <v>2022</v>
      </c>
      <c r="C102" s="19" t="str">
        <f t="shared" si="4"/>
        <v>Q1</v>
      </c>
      <c r="D102" s="3">
        <v>75.109654989845154</v>
      </c>
      <c r="E102" s="4">
        <v>75.086612055885098</v>
      </c>
      <c r="F102" s="5">
        <v>75.311292495796351</v>
      </c>
      <c r="G102" s="3">
        <v>83.079362946038572</v>
      </c>
      <c r="H102" s="6">
        <v>71.288804314109143</v>
      </c>
    </row>
    <row r="103" spans="1:8" x14ac:dyDescent="0.3">
      <c r="A103" s="13" t="s">
        <v>109</v>
      </c>
      <c r="B103">
        <f t="shared" si="5"/>
        <v>2022</v>
      </c>
      <c r="C103" s="19" t="str">
        <f t="shared" si="4"/>
        <v>Q2</v>
      </c>
      <c r="D103" s="3">
        <v>74.867002235393485</v>
      </c>
      <c r="E103" s="4">
        <v>74.86894931877589</v>
      </c>
      <c r="F103" s="5">
        <v>75.033034139465244</v>
      </c>
      <c r="G103" s="3">
        <v>82.445887916943946</v>
      </c>
      <c r="H103" s="6">
        <v>71.370236705032738</v>
      </c>
    </row>
    <row r="104" spans="1:8" x14ac:dyDescent="0.3">
      <c r="A104" s="13" t="s">
        <v>110</v>
      </c>
      <c r="B104">
        <f t="shared" si="5"/>
        <v>2022</v>
      </c>
      <c r="C104" s="19" t="str">
        <f t="shared" si="4"/>
        <v>Q3</v>
      </c>
      <c r="D104" s="3">
        <v>75.01397814094048</v>
      </c>
      <c r="E104" s="4">
        <v>75.054773883217933</v>
      </c>
      <c r="F104" s="5">
        <v>75.008771109349908</v>
      </c>
      <c r="G104" s="3">
        <v>81.053861514240594</v>
      </c>
      <c r="H104" s="6">
        <v>72.113338248683021</v>
      </c>
    </row>
    <row r="105" spans="1:8" x14ac:dyDescent="0.3">
      <c r="A105" s="13" t="s">
        <v>111</v>
      </c>
      <c r="B105">
        <f t="shared" si="5"/>
        <v>2022</v>
      </c>
      <c r="C105" s="19" t="str">
        <f t="shared" si="4"/>
        <v>Q4</v>
      </c>
      <c r="D105" s="3">
        <v>75.269114707951275</v>
      </c>
      <c r="E105" s="4">
        <v>75.301071269576099</v>
      </c>
      <c r="F105" s="5">
        <v>75.302827849668887</v>
      </c>
      <c r="G105" s="3">
        <v>81.720807948024373</v>
      </c>
      <c r="H105" s="6">
        <v>72.133790815255679</v>
      </c>
    </row>
    <row r="106" spans="1:8" x14ac:dyDescent="0.3">
      <c r="A106" s="7" t="s">
        <v>112</v>
      </c>
      <c r="B106">
        <f t="shared" si="5"/>
        <v>2023</v>
      </c>
      <c r="C106" s="19" t="str">
        <f t="shared" si="4"/>
        <v>Q1</v>
      </c>
      <c r="D106" s="3">
        <v>75.278604538158561</v>
      </c>
      <c r="E106" s="4">
        <v>75.193347828961038</v>
      </c>
      <c r="F106" s="5">
        <v>75.749797561186867</v>
      </c>
      <c r="G106" s="3">
        <v>83.049980157169841</v>
      </c>
      <c r="H106" s="6">
        <v>72.266055234832351</v>
      </c>
    </row>
    <row r="107" spans="1:8" x14ac:dyDescent="0.3">
      <c r="A107" s="7" t="s">
        <v>113</v>
      </c>
      <c r="B107">
        <f t="shared" si="5"/>
        <v>2023</v>
      </c>
      <c r="C107" s="19" t="str">
        <f t="shared" si="4"/>
        <v>Q2</v>
      </c>
      <c r="D107" s="3">
        <v>75.006095928324783</v>
      </c>
      <c r="E107" s="4">
        <v>74.950495467152024</v>
      </c>
      <c r="F107" s="5">
        <v>75.41904257776973</v>
      </c>
      <c r="G107" s="3">
        <v>82.600009872716754</v>
      </c>
      <c r="H107" s="6">
        <v>72.150276817922531</v>
      </c>
    </row>
    <row r="108" spans="1:8" x14ac:dyDescent="0.3">
      <c r="A108" s="7" t="s">
        <v>114</v>
      </c>
      <c r="B108">
        <f t="shared" si="5"/>
        <v>2023</v>
      </c>
      <c r="C108" s="19" t="str">
        <f t="shared" si="4"/>
        <v>Q3</v>
      </c>
      <c r="D108" s="3">
        <v>74.935404703270208</v>
      </c>
      <c r="E108" s="4">
        <v>74.961954911888213</v>
      </c>
      <c r="F108" s="5">
        <v>75.060734898286881</v>
      </c>
      <c r="G108" s="3">
        <v>79.777327805372451</v>
      </c>
      <c r="H108" s="6">
        <v>72.824410687338386</v>
      </c>
    </row>
    <row r="109" spans="1:8" x14ac:dyDescent="0.3">
      <c r="A109" s="7" t="s">
        <v>115</v>
      </c>
      <c r="B109">
        <f t="shared" si="5"/>
        <v>2023</v>
      </c>
      <c r="C109" s="19" t="str">
        <f t="shared" si="4"/>
        <v>Q4</v>
      </c>
      <c r="D109" s="3">
        <v>74.987113639001308</v>
      </c>
      <c r="E109" s="4">
        <v>74.738142392642203</v>
      </c>
      <c r="F109" s="5">
        <v>76.002221716550665</v>
      </c>
      <c r="G109" s="3">
        <v>81.568199212193576</v>
      </c>
      <c r="H109" s="6">
        <v>73.462945348823354</v>
      </c>
    </row>
    <row r="110" spans="1:8" x14ac:dyDescent="0.3">
      <c r="A110" s="7" t="s">
        <v>116</v>
      </c>
      <c r="B110">
        <f t="shared" si="5"/>
        <v>2024</v>
      </c>
      <c r="C110" s="19" t="str">
        <f t="shared" si="4"/>
        <v>Q1</v>
      </c>
      <c r="D110" s="3">
        <v>74.481362173187478</v>
      </c>
      <c r="E110" s="4">
        <v>74.428230725176675</v>
      </c>
      <c r="F110" s="5">
        <v>74.86369132042131</v>
      </c>
      <c r="G110" s="3">
        <v>80.200903883835679</v>
      </c>
      <c r="H110" s="6">
        <v>72.528613600416634</v>
      </c>
    </row>
    <row r="111" spans="1:8" x14ac:dyDescent="0.3">
      <c r="A111" s="7" t="s">
        <v>117</v>
      </c>
      <c r="B111">
        <f t="shared" si="5"/>
        <v>2024</v>
      </c>
      <c r="C111" s="19" t="str">
        <f t="shared" si="4"/>
        <v>Q2</v>
      </c>
      <c r="D111" s="3">
        <v>74.387722699127707</v>
      </c>
      <c r="E111" s="4">
        <v>74.345988755715439</v>
      </c>
      <c r="F111" s="5">
        <v>74.661639143065671</v>
      </c>
      <c r="G111" s="3">
        <v>79.50638349936149</v>
      </c>
      <c r="H111" s="6">
        <v>72.531476749473256</v>
      </c>
    </row>
    <row r="112" spans="1:8" x14ac:dyDescent="0.3">
      <c r="A112" s="7" t="s">
        <v>118</v>
      </c>
      <c r="B112">
        <f t="shared" si="5"/>
        <v>2024</v>
      </c>
      <c r="C112" s="19" t="str">
        <f t="shared" si="4"/>
        <v>Q3</v>
      </c>
      <c r="D112" s="3">
        <v>74.982313299910103</v>
      </c>
      <c r="E112" s="4">
        <v>74.692156224594385</v>
      </c>
      <c r="F112" s="5">
        <v>76.182140155811467</v>
      </c>
      <c r="G112" s="3">
        <v>80.834267045743928</v>
      </c>
      <c r="H112" s="6">
        <v>74.225494399291364</v>
      </c>
    </row>
    <row r="113" spans="1:8" x14ac:dyDescent="0.3">
      <c r="A113" s="7" t="s">
        <v>119</v>
      </c>
      <c r="B113">
        <f t="shared" si="5"/>
        <v>2024</v>
      </c>
      <c r="C113" s="19" t="str">
        <f t="shared" si="4"/>
        <v>Q4</v>
      </c>
      <c r="D113" s="3">
        <v>75.087664390240462</v>
      </c>
      <c r="E113" s="4">
        <v>74.733153567528888</v>
      </c>
      <c r="F113" s="5">
        <v>76.665119016669237</v>
      </c>
      <c r="G113" s="3">
        <v>81.851408515747664</v>
      </c>
      <c r="H113" s="6">
        <v>74.415494632499104</v>
      </c>
    </row>
    <row r="114" spans="1:8" x14ac:dyDescent="0.3">
      <c r="A114" s="7" t="s">
        <v>120</v>
      </c>
      <c r="B114">
        <f t="shared" si="5"/>
        <v>2025</v>
      </c>
      <c r="C114" s="19" t="str">
        <f t="shared" si="4"/>
        <v>Q1</v>
      </c>
      <c r="D114" s="3">
        <v>74.996266588898081</v>
      </c>
      <c r="E114" s="4">
        <v>74.627173546404038</v>
      </c>
      <c r="F114" s="5">
        <v>76.558297234961188</v>
      </c>
      <c r="G114" s="3">
        <v>82.35190389432762</v>
      </c>
      <c r="H114" s="6">
        <v>74.082307940749942</v>
      </c>
    </row>
    <row r="115" spans="1:8" x14ac:dyDescent="0.3">
      <c r="A115" s="7" t="s">
        <v>121</v>
      </c>
      <c r="B115">
        <f t="shared" si="5"/>
        <v>2025</v>
      </c>
      <c r="C115" s="19" t="str">
        <f t="shared" si="4"/>
        <v>Q2</v>
      </c>
      <c r="D115" s="3">
        <v>75.134816252401478</v>
      </c>
      <c r="E115" s="4">
        <v>74.626890395220229</v>
      </c>
      <c r="F115" s="5">
        <v>77.310533331709436</v>
      </c>
      <c r="G115" s="3">
        <v>81.475778646515124</v>
      </c>
      <c r="H115" s="6">
        <v>75.553139369668799</v>
      </c>
    </row>
    <row r="116" spans="1:8" x14ac:dyDescent="0.3">
      <c r="A116" s="7" t="s">
        <v>122</v>
      </c>
      <c r="B116">
        <f t="shared" si="5"/>
        <v>2025</v>
      </c>
      <c r="C116" s="19" t="str">
        <f t="shared" si="4"/>
        <v>Q3</v>
      </c>
      <c r="D116" s="3">
        <v>75.068743630522917</v>
      </c>
      <c r="E116" s="4">
        <v>74.683766500575217</v>
      </c>
      <c r="F116" s="5">
        <v>76.622458334768083</v>
      </c>
      <c r="G116" s="3">
        <v>81.084476914421472</v>
      </c>
      <c r="H116" s="6">
        <v>74.783344836609416</v>
      </c>
    </row>
    <row r="117" spans="1:8" x14ac:dyDescent="0.3">
      <c r="A117" s="7" t="s">
        <v>123</v>
      </c>
      <c r="B117">
        <f t="shared" si="5"/>
        <v>2025</v>
      </c>
      <c r="C117" s="19" t="str">
        <f t="shared" si="4"/>
        <v>Q4</v>
      </c>
      <c r="D117" s="3">
        <v>75.08188656510238</v>
      </c>
      <c r="E117" s="4">
        <v>74.684657732592115</v>
      </c>
      <c r="F117" s="5">
        <v>76.686445549804432</v>
      </c>
      <c r="G117" s="3">
        <v>80.393744089285761</v>
      </c>
      <c r="H117" s="6">
        <v>75.124628395338419</v>
      </c>
    </row>
    <row r="118" spans="1:8" x14ac:dyDescent="0.3">
      <c r="A118" s="14" t="s">
        <v>124</v>
      </c>
      <c r="B118">
        <f t="shared" si="5"/>
        <v>2026</v>
      </c>
      <c r="C118" s="19" t="str">
        <f t="shared" si="4"/>
        <v>Q1</v>
      </c>
      <c r="D118" s="15">
        <v>74.948682029966221</v>
      </c>
      <c r="E118" s="16">
        <v>74.36153892120268</v>
      </c>
      <c r="F118" s="17">
        <v>77.187636159819448</v>
      </c>
      <c r="G118" s="15">
        <v>80.137700349386392</v>
      </c>
      <c r="H118" s="18">
        <v>75.906874107893088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2D2E-543D-4FEE-9837-D80DB3C231D5}">
  <dimension ref="A1:H118"/>
  <sheetViews>
    <sheetView workbookViewId="0">
      <selection activeCell="H1" sqref="H1"/>
    </sheetView>
  </sheetViews>
  <sheetFormatPr defaultRowHeight="14.4" x14ac:dyDescent="0.3"/>
  <cols>
    <col min="1" max="3" width="17.109375" customWidth="1"/>
    <col min="4" max="4" width="12.33203125" customWidth="1"/>
    <col min="5" max="5" width="11.33203125" customWidth="1"/>
    <col min="6" max="8" width="11.88671875" customWidth="1"/>
  </cols>
  <sheetData>
    <row r="1" spans="1:8" x14ac:dyDescent="0.3">
      <c r="A1" s="20" t="s">
        <v>0</v>
      </c>
      <c r="B1" s="20" t="s">
        <v>1</v>
      </c>
      <c r="C1" s="20" t="s">
        <v>2</v>
      </c>
      <c r="D1" s="21" t="s">
        <v>130</v>
      </c>
      <c r="E1" s="22" t="s">
        <v>4</v>
      </c>
      <c r="F1" s="20" t="s">
        <v>131</v>
      </c>
      <c r="G1" s="20" t="s">
        <v>6</v>
      </c>
      <c r="H1" s="23" t="s">
        <v>7</v>
      </c>
    </row>
    <row r="2" spans="1:8" x14ac:dyDescent="0.3">
      <c r="A2" s="2" t="s">
        <v>8</v>
      </c>
      <c r="B2" s="19">
        <f>(RIGHT(TRIM(A2),4))*1</f>
        <v>1997</v>
      </c>
      <c r="C2" s="19" t="str">
        <f>IF(LEFT(A2,3)="Jan","Q1",IF(LEFT(A2,3)="Apr","Q2",IF(LEFT(A2,3)="Jul","Q3",IF(LEFT(A2,3)="Oct","Q4",""))))</f>
        <v>Q1</v>
      </c>
      <c r="D2" s="25">
        <v>26245</v>
      </c>
      <c r="E2" s="26">
        <v>25316</v>
      </c>
      <c r="F2" s="19">
        <v>928</v>
      </c>
      <c r="G2" s="19">
        <v>437</v>
      </c>
      <c r="H2" s="24">
        <v>491</v>
      </c>
    </row>
    <row r="3" spans="1:8" x14ac:dyDescent="0.3">
      <c r="A3" s="2" t="s">
        <v>9</v>
      </c>
      <c r="B3" s="19">
        <f t="shared" ref="B3:B66" si="0">(RIGHT(TRIM(A3),4))*1</f>
        <v>1997</v>
      </c>
      <c r="C3" s="19" t="str">
        <f t="shared" ref="C3:C66" si="1">IF(LEFT(A3,3)="Jan","Q1",IF(LEFT(A3,3)="Apr","Q2",IF(LEFT(A3,3)="Jul","Q3",IF(LEFT(A3,3)="Oct","Q4",""))))</f>
        <v>Q2</v>
      </c>
      <c r="D3" s="25">
        <v>26444</v>
      </c>
      <c r="E3" s="26">
        <v>25478</v>
      </c>
      <c r="F3" s="19">
        <v>966</v>
      </c>
      <c r="G3" s="19">
        <v>441</v>
      </c>
      <c r="H3" s="24">
        <v>524</v>
      </c>
    </row>
    <row r="4" spans="1:8" x14ac:dyDescent="0.3">
      <c r="A4" s="2" t="s">
        <v>10</v>
      </c>
      <c r="B4" s="19">
        <f t="shared" si="0"/>
        <v>1997</v>
      </c>
      <c r="C4" s="19" t="str">
        <f t="shared" si="1"/>
        <v>Q3</v>
      </c>
      <c r="D4" s="25">
        <v>26707</v>
      </c>
      <c r="E4" s="26">
        <v>25721</v>
      </c>
      <c r="F4" s="19">
        <v>986</v>
      </c>
      <c r="G4" s="19">
        <v>444</v>
      </c>
      <c r="H4" s="24">
        <v>542</v>
      </c>
    </row>
    <row r="5" spans="1:8" x14ac:dyDescent="0.3">
      <c r="A5" s="2" t="s">
        <v>11</v>
      </c>
      <c r="B5" s="19">
        <f t="shared" si="0"/>
        <v>1997</v>
      </c>
      <c r="C5" s="19" t="str">
        <f t="shared" si="1"/>
        <v>Q4</v>
      </c>
      <c r="D5" s="25">
        <v>26695</v>
      </c>
      <c r="E5" s="26">
        <v>25689</v>
      </c>
      <c r="F5" s="25">
        <v>1005</v>
      </c>
      <c r="G5" s="19">
        <v>453</v>
      </c>
      <c r="H5" s="24">
        <v>552</v>
      </c>
    </row>
    <row r="6" spans="1:8" x14ac:dyDescent="0.3">
      <c r="A6" s="2" t="s">
        <v>12</v>
      </c>
      <c r="B6" s="19">
        <f t="shared" si="0"/>
        <v>1998</v>
      </c>
      <c r="C6" s="19" t="str">
        <f t="shared" si="1"/>
        <v>Q1</v>
      </c>
      <c r="D6" s="25">
        <v>26546</v>
      </c>
      <c r="E6" s="26">
        <v>25507</v>
      </c>
      <c r="F6" s="25">
        <v>1039</v>
      </c>
      <c r="G6" s="19">
        <v>480</v>
      </c>
      <c r="H6" s="24">
        <v>558</v>
      </c>
    </row>
    <row r="7" spans="1:8" x14ac:dyDescent="0.3">
      <c r="A7" s="2" t="s">
        <v>13</v>
      </c>
      <c r="B7" s="19">
        <f t="shared" si="0"/>
        <v>1998</v>
      </c>
      <c r="C7" s="19" t="str">
        <f t="shared" si="1"/>
        <v>Q2</v>
      </c>
      <c r="D7" s="25">
        <v>26642</v>
      </c>
      <c r="E7" s="26">
        <v>25576</v>
      </c>
      <c r="F7" s="25">
        <v>1065</v>
      </c>
      <c r="G7" s="19">
        <v>500</v>
      </c>
      <c r="H7" s="24">
        <v>565</v>
      </c>
    </row>
    <row r="8" spans="1:8" x14ac:dyDescent="0.3">
      <c r="A8" s="2" t="s">
        <v>14</v>
      </c>
      <c r="B8" s="19">
        <f t="shared" si="0"/>
        <v>1998</v>
      </c>
      <c r="C8" s="19" t="str">
        <f t="shared" si="1"/>
        <v>Q3</v>
      </c>
      <c r="D8" s="25">
        <v>26969</v>
      </c>
      <c r="E8" s="26">
        <v>25930</v>
      </c>
      <c r="F8" s="25">
        <v>1036</v>
      </c>
      <c r="G8" s="19">
        <v>491</v>
      </c>
      <c r="H8" s="24">
        <v>546</v>
      </c>
    </row>
    <row r="9" spans="1:8" x14ac:dyDescent="0.3">
      <c r="A9" s="2" t="s">
        <v>15</v>
      </c>
      <c r="B9" s="19">
        <f t="shared" si="0"/>
        <v>1998</v>
      </c>
      <c r="C9" s="19" t="str">
        <f t="shared" si="1"/>
        <v>Q4</v>
      </c>
      <c r="D9" s="25">
        <v>27017</v>
      </c>
      <c r="E9" s="26">
        <v>25954</v>
      </c>
      <c r="F9" s="25">
        <v>1063</v>
      </c>
      <c r="G9" s="19">
        <v>505</v>
      </c>
      <c r="H9" s="24">
        <v>557</v>
      </c>
    </row>
    <row r="10" spans="1:8" x14ac:dyDescent="0.3">
      <c r="A10" s="2" t="s">
        <v>16</v>
      </c>
      <c r="B10" s="19">
        <f t="shared" si="0"/>
        <v>1999</v>
      </c>
      <c r="C10" s="19" t="str">
        <f t="shared" si="1"/>
        <v>Q1</v>
      </c>
      <c r="D10" s="25">
        <v>26909</v>
      </c>
      <c r="E10" s="26">
        <v>25855</v>
      </c>
      <c r="F10" s="25">
        <v>1053</v>
      </c>
      <c r="G10" s="19">
        <v>509</v>
      </c>
      <c r="H10" s="24">
        <v>544</v>
      </c>
    </row>
    <row r="11" spans="1:8" x14ac:dyDescent="0.3">
      <c r="A11" s="2" t="s">
        <v>17</v>
      </c>
      <c r="B11" s="19">
        <f t="shared" si="0"/>
        <v>1999</v>
      </c>
      <c r="C11" s="19" t="str">
        <f t="shared" si="1"/>
        <v>Q2</v>
      </c>
      <c r="D11" s="25">
        <v>27023</v>
      </c>
      <c r="E11" s="26">
        <v>26002</v>
      </c>
      <c r="F11" s="25">
        <v>1020</v>
      </c>
      <c r="G11" s="19">
        <v>481</v>
      </c>
      <c r="H11" s="24">
        <v>539</v>
      </c>
    </row>
    <row r="12" spans="1:8" x14ac:dyDescent="0.3">
      <c r="A12" s="2" t="s">
        <v>18</v>
      </c>
      <c r="B12" s="19">
        <f t="shared" si="0"/>
        <v>1999</v>
      </c>
      <c r="C12" s="19" t="str">
        <f t="shared" si="1"/>
        <v>Q3</v>
      </c>
      <c r="D12" s="25">
        <v>27351</v>
      </c>
      <c r="E12" s="26">
        <v>26314</v>
      </c>
      <c r="F12" s="25">
        <v>1036</v>
      </c>
      <c r="G12" s="19">
        <v>468</v>
      </c>
      <c r="H12" s="24">
        <v>568</v>
      </c>
    </row>
    <row r="13" spans="1:8" x14ac:dyDescent="0.3">
      <c r="A13" s="2" t="s">
        <v>19</v>
      </c>
      <c r="B13" s="19">
        <f t="shared" si="0"/>
        <v>1999</v>
      </c>
      <c r="C13" s="19" t="str">
        <f t="shared" si="1"/>
        <v>Q4</v>
      </c>
      <c r="D13" s="25">
        <v>27385</v>
      </c>
      <c r="E13" s="26">
        <v>26323</v>
      </c>
      <c r="F13" s="25">
        <v>1060</v>
      </c>
      <c r="G13" s="19">
        <v>482</v>
      </c>
      <c r="H13" s="24">
        <v>578</v>
      </c>
    </row>
    <row r="14" spans="1:8" x14ac:dyDescent="0.3">
      <c r="A14" s="2" t="s">
        <v>20</v>
      </c>
      <c r="B14" s="19">
        <f t="shared" si="0"/>
        <v>2000</v>
      </c>
      <c r="C14" s="19" t="str">
        <f t="shared" si="1"/>
        <v>Q1</v>
      </c>
      <c r="D14" s="25">
        <v>27239</v>
      </c>
      <c r="E14" s="26">
        <v>26148</v>
      </c>
      <c r="F14" s="25">
        <v>1090</v>
      </c>
      <c r="G14" s="19">
        <v>496</v>
      </c>
      <c r="H14" s="24">
        <v>594</v>
      </c>
    </row>
    <row r="15" spans="1:8" x14ac:dyDescent="0.3">
      <c r="A15" s="2" t="s">
        <v>21</v>
      </c>
      <c r="B15" s="19">
        <f t="shared" si="0"/>
        <v>2000</v>
      </c>
      <c r="C15" s="19" t="str">
        <f t="shared" si="1"/>
        <v>Q2</v>
      </c>
      <c r="D15" s="25">
        <v>27399</v>
      </c>
      <c r="E15" s="26">
        <v>26256</v>
      </c>
      <c r="F15" s="25">
        <v>1142</v>
      </c>
      <c r="G15" s="19">
        <v>499</v>
      </c>
      <c r="H15" s="24">
        <v>643</v>
      </c>
    </row>
    <row r="16" spans="1:8" x14ac:dyDescent="0.3">
      <c r="A16" s="2" t="s">
        <v>22</v>
      </c>
      <c r="B16" s="19">
        <f t="shared" si="0"/>
        <v>2000</v>
      </c>
      <c r="C16" s="19" t="str">
        <f t="shared" si="1"/>
        <v>Q3</v>
      </c>
      <c r="D16" s="25">
        <v>27685</v>
      </c>
      <c r="E16" s="26">
        <v>26505</v>
      </c>
      <c r="F16" s="25">
        <v>1178</v>
      </c>
      <c r="G16" s="19">
        <v>507</v>
      </c>
      <c r="H16" s="24">
        <v>672</v>
      </c>
    </row>
    <row r="17" spans="1:8" x14ac:dyDescent="0.3">
      <c r="A17" s="2" t="s">
        <v>23</v>
      </c>
      <c r="B17" s="19">
        <f t="shared" si="0"/>
        <v>2000</v>
      </c>
      <c r="C17" s="19" t="str">
        <f t="shared" si="1"/>
        <v>Q4</v>
      </c>
      <c r="D17" s="25">
        <v>27611</v>
      </c>
      <c r="E17" s="26">
        <v>26388</v>
      </c>
      <c r="F17" s="25">
        <v>1221</v>
      </c>
      <c r="G17" s="19">
        <v>533</v>
      </c>
      <c r="H17" s="24">
        <v>689</v>
      </c>
    </row>
    <row r="18" spans="1:8" x14ac:dyDescent="0.3">
      <c r="A18" s="2" t="s">
        <v>24</v>
      </c>
      <c r="B18" s="19">
        <f t="shared" si="0"/>
        <v>2001</v>
      </c>
      <c r="C18" s="19" t="str">
        <f t="shared" si="1"/>
        <v>Q1</v>
      </c>
      <c r="D18" s="25">
        <v>27505</v>
      </c>
      <c r="E18" s="26">
        <v>26306</v>
      </c>
      <c r="F18" s="25">
        <v>1198</v>
      </c>
      <c r="G18" s="19">
        <v>523</v>
      </c>
      <c r="H18" s="24">
        <v>674</v>
      </c>
    </row>
    <row r="19" spans="1:8" x14ac:dyDescent="0.3">
      <c r="A19" s="2" t="s">
        <v>25</v>
      </c>
      <c r="B19" s="19">
        <f t="shared" si="0"/>
        <v>2001</v>
      </c>
      <c r="C19" s="19" t="str">
        <f t="shared" si="1"/>
        <v>Q2</v>
      </c>
      <c r="D19" s="25">
        <v>27643</v>
      </c>
      <c r="E19" s="26">
        <v>26427</v>
      </c>
      <c r="F19" s="25">
        <v>1213</v>
      </c>
      <c r="G19" s="19">
        <v>533</v>
      </c>
      <c r="H19" s="24">
        <v>680</v>
      </c>
    </row>
    <row r="20" spans="1:8" x14ac:dyDescent="0.3">
      <c r="A20" s="2" t="s">
        <v>26</v>
      </c>
      <c r="B20" s="19">
        <f t="shared" si="0"/>
        <v>2001</v>
      </c>
      <c r="C20" s="19" t="str">
        <f t="shared" si="1"/>
        <v>Q3</v>
      </c>
      <c r="D20" s="25">
        <v>27838</v>
      </c>
      <c r="E20" s="26">
        <v>26588</v>
      </c>
      <c r="F20" s="25">
        <v>1248</v>
      </c>
      <c r="G20" s="19">
        <v>534</v>
      </c>
      <c r="H20" s="24">
        <v>715</v>
      </c>
    </row>
    <row r="21" spans="1:8" x14ac:dyDescent="0.3">
      <c r="A21" s="2" t="s">
        <v>27</v>
      </c>
      <c r="B21" s="19">
        <f t="shared" si="0"/>
        <v>2001</v>
      </c>
      <c r="C21" s="19" t="str">
        <f t="shared" si="1"/>
        <v>Q4</v>
      </c>
      <c r="D21" s="25">
        <v>27860</v>
      </c>
      <c r="E21" s="26">
        <v>26597</v>
      </c>
      <c r="F21" s="25">
        <v>1262</v>
      </c>
      <c r="G21" s="19">
        <v>542</v>
      </c>
      <c r="H21" s="24">
        <v>720</v>
      </c>
    </row>
    <row r="22" spans="1:8" x14ac:dyDescent="0.3">
      <c r="A22" s="2" t="s">
        <v>28</v>
      </c>
      <c r="B22" s="19">
        <f t="shared" si="0"/>
        <v>2002</v>
      </c>
      <c r="C22" s="19" t="str">
        <f t="shared" si="1"/>
        <v>Q1</v>
      </c>
      <c r="D22" s="25">
        <v>27688</v>
      </c>
      <c r="E22" s="26">
        <v>26426</v>
      </c>
      <c r="F22" s="25">
        <v>1262</v>
      </c>
      <c r="G22" s="19">
        <v>544</v>
      </c>
      <c r="H22" s="24">
        <v>717</v>
      </c>
    </row>
    <row r="23" spans="1:8" x14ac:dyDescent="0.3">
      <c r="A23" s="2" t="s">
        <v>29</v>
      </c>
      <c r="B23" s="19">
        <f t="shared" si="0"/>
        <v>2002</v>
      </c>
      <c r="C23" s="19" t="str">
        <f t="shared" si="1"/>
        <v>Q2</v>
      </c>
      <c r="D23" s="25">
        <v>27873</v>
      </c>
      <c r="E23" s="26">
        <v>26575</v>
      </c>
      <c r="F23" s="25">
        <v>1296</v>
      </c>
      <c r="G23" s="19">
        <v>533</v>
      </c>
      <c r="H23" s="24">
        <v>763</v>
      </c>
    </row>
    <row r="24" spans="1:8" x14ac:dyDescent="0.3">
      <c r="A24" s="2" t="s">
        <v>30</v>
      </c>
      <c r="B24" s="19">
        <f t="shared" si="0"/>
        <v>2002</v>
      </c>
      <c r="C24" s="19" t="str">
        <f t="shared" si="1"/>
        <v>Q3</v>
      </c>
      <c r="D24" s="25">
        <v>28051</v>
      </c>
      <c r="E24" s="26">
        <v>26712</v>
      </c>
      <c r="F24" s="25">
        <v>1337</v>
      </c>
      <c r="G24" s="19">
        <v>546</v>
      </c>
      <c r="H24" s="24">
        <v>791</v>
      </c>
    </row>
    <row r="25" spans="1:8" x14ac:dyDescent="0.3">
      <c r="A25" s="2" t="s">
        <v>31</v>
      </c>
      <c r="B25" s="19">
        <f t="shared" si="0"/>
        <v>2002</v>
      </c>
      <c r="C25" s="19" t="str">
        <f t="shared" si="1"/>
        <v>Q4</v>
      </c>
      <c r="D25" s="25">
        <v>28164</v>
      </c>
      <c r="E25" s="26">
        <v>26788</v>
      </c>
      <c r="F25" s="25">
        <v>1375</v>
      </c>
      <c r="G25" s="19">
        <v>557</v>
      </c>
      <c r="H25" s="24">
        <v>817</v>
      </c>
    </row>
    <row r="26" spans="1:8" x14ac:dyDescent="0.3">
      <c r="A26" s="2" t="s">
        <v>32</v>
      </c>
      <c r="B26" s="19">
        <f t="shared" si="0"/>
        <v>2003</v>
      </c>
      <c r="C26" s="19" t="str">
        <f t="shared" si="1"/>
        <v>Q1</v>
      </c>
      <c r="D26" s="25">
        <v>28002</v>
      </c>
      <c r="E26" s="26">
        <v>26642</v>
      </c>
      <c r="F26" s="25">
        <v>1360</v>
      </c>
      <c r="G26" s="19">
        <v>563</v>
      </c>
      <c r="H26" s="24">
        <v>797</v>
      </c>
    </row>
    <row r="27" spans="1:8" x14ac:dyDescent="0.3">
      <c r="A27" s="2" t="s">
        <v>33</v>
      </c>
      <c r="B27" s="19">
        <f t="shared" si="0"/>
        <v>2003</v>
      </c>
      <c r="C27" s="19" t="str">
        <f t="shared" si="1"/>
        <v>Q2</v>
      </c>
      <c r="D27" s="25">
        <v>28166</v>
      </c>
      <c r="E27" s="26">
        <v>26776</v>
      </c>
      <c r="F27" s="25">
        <v>1391</v>
      </c>
      <c r="G27" s="19">
        <v>564</v>
      </c>
      <c r="H27" s="24">
        <v>827</v>
      </c>
    </row>
    <row r="28" spans="1:8" x14ac:dyDescent="0.3">
      <c r="A28" s="2" t="s">
        <v>34</v>
      </c>
      <c r="B28" s="19">
        <f t="shared" si="0"/>
        <v>2003</v>
      </c>
      <c r="C28" s="19" t="str">
        <f t="shared" si="1"/>
        <v>Q3</v>
      </c>
      <c r="D28" s="25">
        <v>28366</v>
      </c>
      <c r="E28" s="26">
        <v>26954</v>
      </c>
      <c r="F28" s="25">
        <v>1412</v>
      </c>
      <c r="G28" s="19">
        <v>545</v>
      </c>
      <c r="H28" s="24">
        <v>867</v>
      </c>
    </row>
    <row r="29" spans="1:8" x14ac:dyDescent="0.3">
      <c r="A29" s="2" t="s">
        <v>35</v>
      </c>
      <c r="B29" s="19">
        <f t="shared" si="0"/>
        <v>2003</v>
      </c>
      <c r="C29" s="19" t="str">
        <f t="shared" si="1"/>
        <v>Q4</v>
      </c>
      <c r="D29" s="25">
        <v>28358</v>
      </c>
      <c r="E29" s="26">
        <v>26955</v>
      </c>
      <c r="F29" s="25">
        <v>1402</v>
      </c>
      <c r="G29" s="19">
        <v>558</v>
      </c>
      <c r="H29" s="24">
        <v>844</v>
      </c>
    </row>
    <row r="30" spans="1:8" x14ac:dyDescent="0.3">
      <c r="A30" s="2" t="s">
        <v>36</v>
      </c>
      <c r="B30" s="19">
        <f t="shared" si="0"/>
        <v>2004</v>
      </c>
      <c r="C30" s="19" t="str">
        <f t="shared" si="1"/>
        <v>Q1</v>
      </c>
      <c r="D30" s="25">
        <v>28371</v>
      </c>
      <c r="E30" s="26">
        <v>26930</v>
      </c>
      <c r="F30" s="25">
        <v>1440</v>
      </c>
      <c r="G30" s="19">
        <v>564</v>
      </c>
      <c r="H30" s="24">
        <v>876</v>
      </c>
    </row>
    <row r="31" spans="1:8" x14ac:dyDescent="0.3">
      <c r="A31" s="2" t="s">
        <v>37</v>
      </c>
      <c r="B31" s="19">
        <f t="shared" si="0"/>
        <v>2004</v>
      </c>
      <c r="C31" s="19" t="str">
        <f t="shared" si="1"/>
        <v>Q2</v>
      </c>
      <c r="D31" s="25">
        <v>28407</v>
      </c>
      <c r="E31" s="26">
        <v>26900</v>
      </c>
      <c r="F31" s="25">
        <v>1506</v>
      </c>
      <c r="G31" s="19">
        <v>594</v>
      </c>
      <c r="H31" s="24">
        <v>912</v>
      </c>
    </row>
    <row r="32" spans="1:8" x14ac:dyDescent="0.3">
      <c r="A32" s="2" t="s">
        <v>38</v>
      </c>
      <c r="B32" s="19">
        <f t="shared" si="0"/>
        <v>2004</v>
      </c>
      <c r="C32" s="19" t="str">
        <f t="shared" si="1"/>
        <v>Q3</v>
      </c>
      <c r="D32" s="25">
        <v>28627</v>
      </c>
      <c r="E32" s="26">
        <v>27114</v>
      </c>
      <c r="F32" s="25">
        <v>1509</v>
      </c>
      <c r="G32" s="19">
        <v>596</v>
      </c>
      <c r="H32" s="24">
        <v>914</v>
      </c>
    </row>
    <row r="33" spans="1:8" x14ac:dyDescent="0.3">
      <c r="A33" s="2" t="s">
        <v>39</v>
      </c>
      <c r="B33" s="19">
        <f t="shared" si="0"/>
        <v>2004</v>
      </c>
      <c r="C33" s="19" t="str">
        <f t="shared" si="1"/>
        <v>Q4</v>
      </c>
      <c r="D33" s="25">
        <v>28728</v>
      </c>
      <c r="E33" s="26">
        <v>27115</v>
      </c>
      <c r="F33" s="25">
        <v>1612</v>
      </c>
      <c r="G33" s="19">
        <v>640</v>
      </c>
      <c r="H33" s="24">
        <v>972</v>
      </c>
    </row>
    <row r="34" spans="1:8" x14ac:dyDescent="0.3">
      <c r="A34" s="2" t="s">
        <v>40</v>
      </c>
      <c r="B34" s="19">
        <f t="shared" si="0"/>
        <v>2005</v>
      </c>
      <c r="C34" s="19" t="str">
        <f t="shared" si="1"/>
        <v>Q1</v>
      </c>
      <c r="D34" s="25">
        <v>28705</v>
      </c>
      <c r="E34" s="26">
        <v>27067</v>
      </c>
      <c r="F34" s="25">
        <v>1636</v>
      </c>
      <c r="G34" s="19">
        <v>650</v>
      </c>
      <c r="H34" s="24">
        <v>986</v>
      </c>
    </row>
    <row r="35" spans="1:8" x14ac:dyDescent="0.3">
      <c r="A35" s="2" t="s">
        <v>41</v>
      </c>
      <c r="B35" s="19">
        <f t="shared" si="0"/>
        <v>2005</v>
      </c>
      <c r="C35" s="19" t="str">
        <f t="shared" si="1"/>
        <v>Q2</v>
      </c>
      <c r="D35" s="25">
        <v>28735</v>
      </c>
      <c r="E35" s="26">
        <v>27123</v>
      </c>
      <c r="F35" s="25">
        <v>1608</v>
      </c>
      <c r="G35" s="19">
        <v>669</v>
      </c>
      <c r="H35" s="24">
        <v>939</v>
      </c>
    </row>
    <row r="36" spans="1:8" x14ac:dyDescent="0.3">
      <c r="A36" s="2" t="s">
        <v>42</v>
      </c>
      <c r="B36" s="19">
        <f t="shared" si="0"/>
        <v>2005</v>
      </c>
      <c r="C36" s="19" t="str">
        <f t="shared" si="1"/>
        <v>Q3</v>
      </c>
      <c r="D36" s="25">
        <v>29035</v>
      </c>
      <c r="E36" s="26">
        <v>27372</v>
      </c>
      <c r="F36" s="25">
        <v>1662</v>
      </c>
      <c r="G36" s="19">
        <v>708</v>
      </c>
      <c r="H36" s="24">
        <v>954</v>
      </c>
    </row>
    <row r="37" spans="1:8" x14ac:dyDescent="0.3">
      <c r="A37" s="2" t="s">
        <v>43</v>
      </c>
      <c r="B37" s="19">
        <f t="shared" si="0"/>
        <v>2005</v>
      </c>
      <c r="C37" s="19" t="str">
        <f t="shared" si="1"/>
        <v>Q4</v>
      </c>
      <c r="D37" s="25">
        <v>28938</v>
      </c>
      <c r="E37" s="26">
        <v>27203</v>
      </c>
      <c r="F37" s="25">
        <v>1734</v>
      </c>
      <c r="G37" s="19">
        <v>742</v>
      </c>
      <c r="H37" s="24">
        <v>992</v>
      </c>
    </row>
    <row r="38" spans="1:8" x14ac:dyDescent="0.3">
      <c r="A38" s="2" t="s">
        <v>44</v>
      </c>
      <c r="B38" s="19">
        <f t="shared" si="0"/>
        <v>2006</v>
      </c>
      <c r="C38" s="19" t="str">
        <f t="shared" si="1"/>
        <v>Q1</v>
      </c>
      <c r="D38" s="25">
        <v>28966</v>
      </c>
      <c r="E38" s="26">
        <v>27160</v>
      </c>
      <c r="F38" s="25">
        <v>1804</v>
      </c>
      <c r="G38" s="19">
        <v>758</v>
      </c>
      <c r="H38" s="27">
        <v>1047</v>
      </c>
    </row>
    <row r="39" spans="1:8" x14ac:dyDescent="0.3">
      <c r="A39" s="2" t="s">
        <v>45</v>
      </c>
      <c r="B39" s="19">
        <f t="shared" si="0"/>
        <v>2006</v>
      </c>
      <c r="C39" s="19" t="str">
        <f t="shared" si="1"/>
        <v>Q2</v>
      </c>
      <c r="D39" s="25">
        <v>29032</v>
      </c>
      <c r="E39" s="26">
        <v>27145</v>
      </c>
      <c r="F39" s="25">
        <v>1885</v>
      </c>
      <c r="G39" s="19">
        <v>766</v>
      </c>
      <c r="H39" s="27">
        <v>1119</v>
      </c>
    </row>
    <row r="40" spans="1:8" x14ac:dyDescent="0.3">
      <c r="A40" s="2" t="s">
        <v>46</v>
      </c>
      <c r="B40" s="19">
        <f t="shared" si="0"/>
        <v>2006</v>
      </c>
      <c r="C40" s="19" t="str">
        <f t="shared" si="1"/>
        <v>Q3</v>
      </c>
      <c r="D40" s="25">
        <v>29289</v>
      </c>
      <c r="E40" s="26">
        <v>27316</v>
      </c>
      <c r="F40" s="25">
        <v>1970</v>
      </c>
      <c r="G40" s="19">
        <v>813</v>
      </c>
      <c r="H40" s="27">
        <v>1157</v>
      </c>
    </row>
    <row r="41" spans="1:8" x14ac:dyDescent="0.3">
      <c r="A41" s="2" t="s">
        <v>47</v>
      </c>
      <c r="B41" s="19">
        <f t="shared" si="0"/>
        <v>2006</v>
      </c>
      <c r="C41" s="19" t="str">
        <f t="shared" si="1"/>
        <v>Q4</v>
      </c>
      <c r="D41" s="25">
        <v>29276</v>
      </c>
      <c r="E41" s="26">
        <v>27249</v>
      </c>
      <c r="F41" s="25">
        <v>2024</v>
      </c>
      <c r="G41" s="19">
        <v>895</v>
      </c>
      <c r="H41" s="27">
        <v>1128</v>
      </c>
    </row>
    <row r="42" spans="1:8" x14ac:dyDescent="0.3">
      <c r="A42" s="2" t="s">
        <v>48</v>
      </c>
      <c r="B42" s="19">
        <f t="shared" si="0"/>
        <v>2007</v>
      </c>
      <c r="C42" s="19" t="str">
        <f t="shared" si="1"/>
        <v>Q1</v>
      </c>
      <c r="D42" s="25">
        <v>29108</v>
      </c>
      <c r="E42" s="26">
        <v>27071</v>
      </c>
      <c r="F42" s="25">
        <v>2033</v>
      </c>
      <c r="G42" s="19">
        <v>933</v>
      </c>
      <c r="H42" s="27">
        <v>1101</v>
      </c>
    </row>
    <row r="43" spans="1:8" x14ac:dyDescent="0.3">
      <c r="A43" s="2" t="s">
        <v>49</v>
      </c>
      <c r="B43" s="19">
        <f t="shared" si="0"/>
        <v>2007</v>
      </c>
      <c r="C43" s="19" t="str">
        <f t="shared" si="1"/>
        <v>Q2</v>
      </c>
      <c r="D43" s="25">
        <v>29242</v>
      </c>
      <c r="E43" s="26">
        <v>27078</v>
      </c>
      <c r="F43" s="25">
        <v>2156</v>
      </c>
      <c r="G43" s="25">
        <v>1008</v>
      </c>
      <c r="H43" s="27">
        <v>1148</v>
      </c>
    </row>
    <row r="44" spans="1:8" x14ac:dyDescent="0.3">
      <c r="A44" s="2" t="s">
        <v>50</v>
      </c>
      <c r="B44" s="19">
        <f t="shared" si="0"/>
        <v>2007</v>
      </c>
      <c r="C44" s="19" t="str">
        <f t="shared" si="1"/>
        <v>Q3</v>
      </c>
      <c r="D44" s="25">
        <v>29525</v>
      </c>
      <c r="E44" s="26">
        <v>27349</v>
      </c>
      <c r="F44" s="25">
        <v>2166</v>
      </c>
      <c r="G44" s="25">
        <v>1012</v>
      </c>
      <c r="H44" s="27">
        <v>1154</v>
      </c>
    </row>
    <row r="45" spans="1:8" x14ac:dyDescent="0.3">
      <c r="A45" s="2" t="s">
        <v>51</v>
      </c>
      <c r="B45" s="19">
        <f t="shared" si="0"/>
        <v>2007</v>
      </c>
      <c r="C45" s="19" t="str">
        <f t="shared" si="1"/>
        <v>Q4</v>
      </c>
      <c r="D45" s="25">
        <v>29640</v>
      </c>
      <c r="E45" s="26">
        <v>27410</v>
      </c>
      <c r="F45" s="25">
        <v>2221</v>
      </c>
      <c r="G45" s="25">
        <v>1049</v>
      </c>
      <c r="H45" s="27">
        <v>1172</v>
      </c>
    </row>
    <row r="46" spans="1:8" x14ac:dyDescent="0.3">
      <c r="A46" s="2" t="s">
        <v>52</v>
      </c>
      <c r="B46" s="19">
        <f t="shared" si="0"/>
        <v>2008</v>
      </c>
      <c r="C46" s="19" t="str">
        <f t="shared" si="1"/>
        <v>Q1</v>
      </c>
      <c r="D46" s="25">
        <v>29596</v>
      </c>
      <c r="E46" s="26">
        <v>27291</v>
      </c>
      <c r="F46" s="25">
        <v>2298</v>
      </c>
      <c r="G46" s="25">
        <v>1109</v>
      </c>
      <c r="H46" s="27">
        <v>1189</v>
      </c>
    </row>
    <row r="47" spans="1:8" x14ac:dyDescent="0.3">
      <c r="A47" s="2" t="s">
        <v>53</v>
      </c>
      <c r="B47" s="19">
        <f t="shared" si="0"/>
        <v>2008</v>
      </c>
      <c r="C47" s="19" t="str">
        <f t="shared" si="1"/>
        <v>Q2</v>
      </c>
      <c r="D47" s="25">
        <v>29637</v>
      </c>
      <c r="E47" s="26">
        <v>27321</v>
      </c>
      <c r="F47" s="25">
        <v>2312</v>
      </c>
      <c r="G47" s="25">
        <v>1111</v>
      </c>
      <c r="H47" s="27">
        <v>1202</v>
      </c>
    </row>
    <row r="48" spans="1:8" x14ac:dyDescent="0.3">
      <c r="A48" s="2" t="s">
        <v>54</v>
      </c>
      <c r="B48" s="19">
        <f t="shared" si="0"/>
        <v>2008</v>
      </c>
      <c r="C48" s="19" t="str">
        <f t="shared" si="1"/>
        <v>Q3</v>
      </c>
      <c r="D48" s="25">
        <v>29685</v>
      </c>
      <c r="E48" s="26">
        <v>27349</v>
      </c>
      <c r="F48" s="25">
        <v>2328</v>
      </c>
      <c r="G48" s="25">
        <v>1093</v>
      </c>
      <c r="H48" s="27">
        <v>1235</v>
      </c>
    </row>
    <row r="49" spans="1:8" x14ac:dyDescent="0.3">
      <c r="A49" s="2" t="s">
        <v>55</v>
      </c>
      <c r="B49" s="19">
        <f t="shared" si="0"/>
        <v>2008</v>
      </c>
      <c r="C49" s="19" t="str">
        <f t="shared" si="1"/>
        <v>Q4</v>
      </c>
      <c r="D49" s="25">
        <v>29593</v>
      </c>
      <c r="E49" s="26">
        <v>27194</v>
      </c>
      <c r="F49" s="25">
        <v>2390</v>
      </c>
      <c r="G49" s="25">
        <v>1097</v>
      </c>
      <c r="H49" s="27">
        <v>1293</v>
      </c>
    </row>
    <row r="50" spans="1:8" x14ac:dyDescent="0.3">
      <c r="A50" s="2" t="s">
        <v>56</v>
      </c>
      <c r="B50" s="19">
        <f t="shared" si="0"/>
        <v>2009</v>
      </c>
      <c r="C50" s="19" t="str">
        <f t="shared" si="1"/>
        <v>Q1</v>
      </c>
      <c r="D50" s="25">
        <v>29277</v>
      </c>
      <c r="E50" s="26">
        <v>26909</v>
      </c>
      <c r="F50" s="25">
        <v>2360</v>
      </c>
      <c r="G50" s="25">
        <v>1143</v>
      </c>
      <c r="H50" s="27">
        <v>1217</v>
      </c>
    </row>
    <row r="51" spans="1:8" x14ac:dyDescent="0.3">
      <c r="A51" s="2" t="s">
        <v>57</v>
      </c>
      <c r="B51" s="19">
        <f t="shared" si="0"/>
        <v>2009</v>
      </c>
      <c r="C51" s="19" t="str">
        <f t="shared" si="1"/>
        <v>Q2</v>
      </c>
      <c r="D51" s="25">
        <v>29003</v>
      </c>
      <c r="E51" s="26">
        <v>26682</v>
      </c>
      <c r="F51" s="25">
        <v>2318</v>
      </c>
      <c r="G51" s="25">
        <v>1125</v>
      </c>
      <c r="H51" s="27">
        <v>1193</v>
      </c>
    </row>
    <row r="52" spans="1:8" x14ac:dyDescent="0.3">
      <c r="A52" s="2" t="s">
        <v>58</v>
      </c>
      <c r="B52" s="19">
        <f t="shared" si="0"/>
        <v>2009</v>
      </c>
      <c r="C52" s="19" t="str">
        <f t="shared" si="1"/>
        <v>Q3</v>
      </c>
      <c r="D52" s="25">
        <v>29170</v>
      </c>
      <c r="E52" s="26">
        <v>26883</v>
      </c>
      <c r="F52" s="25">
        <v>2281</v>
      </c>
      <c r="G52" s="25">
        <v>1115</v>
      </c>
      <c r="H52" s="27">
        <v>1166</v>
      </c>
    </row>
    <row r="53" spans="1:8" x14ac:dyDescent="0.3">
      <c r="A53" s="2" t="s">
        <v>59</v>
      </c>
      <c r="B53" s="19">
        <f t="shared" si="0"/>
        <v>2009</v>
      </c>
      <c r="C53" s="19" t="str">
        <f t="shared" si="1"/>
        <v>Q4</v>
      </c>
      <c r="D53" s="25">
        <v>29167</v>
      </c>
      <c r="E53" s="26">
        <v>26852</v>
      </c>
      <c r="F53" s="25">
        <v>2308</v>
      </c>
      <c r="G53" s="25">
        <v>1095</v>
      </c>
      <c r="H53" s="27">
        <v>1213</v>
      </c>
    </row>
    <row r="54" spans="1:8" x14ac:dyDescent="0.3">
      <c r="A54" s="2" t="s">
        <v>60</v>
      </c>
      <c r="B54" s="19">
        <f t="shared" si="0"/>
        <v>2010</v>
      </c>
      <c r="C54" s="19" t="str">
        <f t="shared" si="1"/>
        <v>Q1</v>
      </c>
      <c r="D54" s="25">
        <v>28924</v>
      </c>
      <c r="E54" s="26">
        <v>26646</v>
      </c>
      <c r="F54" s="25">
        <v>2272</v>
      </c>
      <c r="G54" s="25">
        <v>1106</v>
      </c>
      <c r="H54" s="27">
        <v>1166</v>
      </c>
    </row>
    <row r="55" spans="1:8" x14ac:dyDescent="0.3">
      <c r="A55" s="2" t="s">
        <v>61</v>
      </c>
      <c r="B55" s="19">
        <f t="shared" si="0"/>
        <v>2010</v>
      </c>
      <c r="C55" s="19" t="str">
        <f t="shared" si="1"/>
        <v>Q2</v>
      </c>
      <c r="D55" s="25">
        <v>29110</v>
      </c>
      <c r="E55" s="26">
        <v>26683</v>
      </c>
      <c r="F55" s="25">
        <v>2425</v>
      </c>
      <c r="G55" s="25">
        <v>1208</v>
      </c>
      <c r="H55" s="27">
        <v>1217</v>
      </c>
    </row>
    <row r="56" spans="1:8" x14ac:dyDescent="0.3">
      <c r="A56" s="2" t="s">
        <v>62</v>
      </c>
      <c r="B56" s="19">
        <f t="shared" si="0"/>
        <v>2010</v>
      </c>
      <c r="C56" s="19" t="str">
        <f t="shared" si="1"/>
        <v>Q3</v>
      </c>
      <c r="D56" s="25">
        <v>29484</v>
      </c>
      <c r="E56" s="26">
        <v>27060</v>
      </c>
      <c r="F56" s="25">
        <v>2422</v>
      </c>
      <c r="G56" s="25">
        <v>1232</v>
      </c>
      <c r="H56" s="27">
        <v>1190</v>
      </c>
    </row>
    <row r="57" spans="1:8" x14ac:dyDescent="0.3">
      <c r="A57" s="2" t="s">
        <v>63</v>
      </c>
      <c r="B57" s="19">
        <f t="shared" si="0"/>
        <v>2010</v>
      </c>
      <c r="C57" s="19" t="str">
        <f t="shared" si="1"/>
        <v>Q4</v>
      </c>
      <c r="D57" s="25">
        <v>29390</v>
      </c>
      <c r="E57" s="26">
        <v>26968</v>
      </c>
      <c r="F57" s="25">
        <v>2419</v>
      </c>
      <c r="G57" s="25">
        <v>1237</v>
      </c>
      <c r="H57" s="27">
        <v>1182</v>
      </c>
    </row>
    <row r="58" spans="1:8" x14ac:dyDescent="0.3">
      <c r="A58" s="2" t="s">
        <v>64</v>
      </c>
      <c r="B58" s="19">
        <f t="shared" si="0"/>
        <v>2011</v>
      </c>
      <c r="C58" s="19" t="str">
        <f t="shared" si="1"/>
        <v>Q1</v>
      </c>
      <c r="D58" s="25">
        <v>29350</v>
      </c>
      <c r="E58" s="26">
        <v>26830</v>
      </c>
      <c r="F58" s="25">
        <v>2514</v>
      </c>
      <c r="G58" s="25">
        <v>1335</v>
      </c>
      <c r="H58" s="27">
        <v>1179</v>
      </c>
    </row>
    <row r="59" spans="1:8" x14ac:dyDescent="0.3">
      <c r="A59" s="2" t="s">
        <v>65</v>
      </c>
      <c r="B59" s="19">
        <f t="shared" si="0"/>
        <v>2011</v>
      </c>
      <c r="C59" s="19" t="str">
        <f t="shared" si="1"/>
        <v>Q2</v>
      </c>
      <c r="D59" s="25">
        <v>29367</v>
      </c>
      <c r="E59" s="26">
        <v>26759</v>
      </c>
      <c r="F59" s="25">
        <v>2601</v>
      </c>
      <c r="G59" s="25">
        <v>1368</v>
      </c>
      <c r="H59" s="27">
        <v>1234</v>
      </c>
    </row>
    <row r="60" spans="1:8" x14ac:dyDescent="0.3">
      <c r="A60" s="2" t="s">
        <v>66</v>
      </c>
      <c r="B60" s="19">
        <f t="shared" si="0"/>
        <v>2011</v>
      </c>
      <c r="C60" s="19" t="str">
        <f t="shared" si="1"/>
        <v>Q3</v>
      </c>
      <c r="D60" s="25">
        <v>29376</v>
      </c>
      <c r="E60" s="26">
        <v>26790</v>
      </c>
      <c r="F60" s="25">
        <v>2574</v>
      </c>
      <c r="G60" s="25">
        <v>1337</v>
      </c>
      <c r="H60" s="27">
        <v>1237</v>
      </c>
    </row>
    <row r="61" spans="1:8" x14ac:dyDescent="0.3">
      <c r="A61" s="2" t="s">
        <v>67</v>
      </c>
      <c r="B61" s="19">
        <f t="shared" si="0"/>
        <v>2011</v>
      </c>
      <c r="C61" s="19" t="str">
        <f t="shared" si="1"/>
        <v>Q4</v>
      </c>
      <c r="D61" s="25">
        <v>29405</v>
      </c>
      <c r="E61" s="26">
        <v>26807</v>
      </c>
      <c r="F61" s="25">
        <v>2585</v>
      </c>
      <c r="G61" s="25">
        <v>1359</v>
      </c>
      <c r="H61" s="27">
        <v>1226</v>
      </c>
    </row>
    <row r="62" spans="1:8" x14ac:dyDescent="0.3">
      <c r="A62" s="2" t="s">
        <v>68</v>
      </c>
      <c r="B62" s="19">
        <f t="shared" si="0"/>
        <v>2012</v>
      </c>
      <c r="C62" s="19" t="str">
        <f t="shared" si="1"/>
        <v>Q1</v>
      </c>
      <c r="D62" s="25">
        <v>29365</v>
      </c>
      <c r="E62" s="26">
        <v>26803</v>
      </c>
      <c r="F62" s="25">
        <v>2557</v>
      </c>
      <c r="G62" s="25">
        <v>1421</v>
      </c>
      <c r="H62" s="27">
        <v>1137</v>
      </c>
    </row>
    <row r="63" spans="1:8" x14ac:dyDescent="0.3">
      <c r="A63" s="2" t="s">
        <v>69</v>
      </c>
      <c r="B63" s="19">
        <f t="shared" si="0"/>
        <v>2012</v>
      </c>
      <c r="C63" s="19" t="str">
        <f t="shared" si="1"/>
        <v>Q2</v>
      </c>
      <c r="D63" s="25">
        <v>29587</v>
      </c>
      <c r="E63" s="26">
        <v>26981</v>
      </c>
      <c r="F63" s="25">
        <v>2604</v>
      </c>
      <c r="G63" s="25">
        <v>1432</v>
      </c>
      <c r="H63" s="27">
        <v>1172</v>
      </c>
    </row>
    <row r="64" spans="1:8" x14ac:dyDescent="0.3">
      <c r="A64" s="2" t="s">
        <v>70</v>
      </c>
      <c r="B64" s="19">
        <f t="shared" si="0"/>
        <v>2012</v>
      </c>
      <c r="C64" s="19" t="str">
        <f t="shared" si="1"/>
        <v>Q3</v>
      </c>
      <c r="D64" s="25">
        <v>29851</v>
      </c>
      <c r="E64" s="26">
        <v>27203</v>
      </c>
      <c r="F64" s="25">
        <v>2644</v>
      </c>
      <c r="G64" s="25">
        <v>1415</v>
      </c>
      <c r="H64" s="27">
        <v>1229</v>
      </c>
    </row>
    <row r="65" spans="1:8" x14ac:dyDescent="0.3">
      <c r="A65" s="2" t="s">
        <v>71</v>
      </c>
      <c r="B65" s="19">
        <f t="shared" si="0"/>
        <v>2012</v>
      </c>
      <c r="C65" s="19" t="str">
        <f t="shared" si="1"/>
        <v>Q4</v>
      </c>
      <c r="D65" s="25">
        <v>29974</v>
      </c>
      <c r="E65" s="26">
        <v>27298</v>
      </c>
      <c r="F65" s="25">
        <v>2672</v>
      </c>
      <c r="G65" s="25">
        <v>1447</v>
      </c>
      <c r="H65" s="27">
        <v>1224</v>
      </c>
    </row>
    <row r="66" spans="1:8" x14ac:dyDescent="0.3">
      <c r="A66" s="2" t="s">
        <v>72</v>
      </c>
      <c r="B66" s="19">
        <f t="shared" si="0"/>
        <v>2013</v>
      </c>
      <c r="C66" s="19" t="str">
        <f t="shared" si="1"/>
        <v>Q1</v>
      </c>
      <c r="D66" s="25">
        <v>29750</v>
      </c>
      <c r="E66" s="26">
        <v>27127</v>
      </c>
      <c r="F66" s="25">
        <v>2617</v>
      </c>
      <c r="G66" s="25">
        <v>1438</v>
      </c>
      <c r="H66" s="27">
        <v>1180</v>
      </c>
    </row>
    <row r="67" spans="1:8" x14ac:dyDescent="0.3">
      <c r="A67" s="2" t="s">
        <v>73</v>
      </c>
      <c r="B67" s="19">
        <f t="shared" ref="B67:B118" si="2">(RIGHT(TRIM(A67),4))*1</f>
        <v>2013</v>
      </c>
      <c r="C67" s="19" t="str">
        <f t="shared" ref="C67:C118" si="3">IF(LEFT(A67,3)="Jan","Q1",IF(LEFT(A67,3)="Apr","Q2",IF(LEFT(A67,3)="Jul","Q3",IF(LEFT(A67,3)="Oct","Q4",""))))</f>
        <v>Q2</v>
      </c>
      <c r="D67" s="25">
        <v>29861</v>
      </c>
      <c r="E67" s="26">
        <v>27162</v>
      </c>
      <c r="F67" s="25">
        <v>2694</v>
      </c>
      <c r="G67" s="25">
        <v>1493</v>
      </c>
      <c r="H67" s="27">
        <v>1201</v>
      </c>
    </row>
    <row r="68" spans="1:8" x14ac:dyDescent="0.3">
      <c r="A68" s="2" t="s">
        <v>74</v>
      </c>
      <c r="B68" s="19">
        <f t="shared" si="2"/>
        <v>2013</v>
      </c>
      <c r="C68" s="19" t="str">
        <f t="shared" si="3"/>
        <v>Q3</v>
      </c>
      <c r="D68" s="25">
        <v>30194</v>
      </c>
      <c r="E68" s="26">
        <v>27526</v>
      </c>
      <c r="F68" s="25">
        <v>2662</v>
      </c>
      <c r="G68" s="25">
        <v>1468</v>
      </c>
      <c r="H68" s="27">
        <v>1194</v>
      </c>
    </row>
    <row r="69" spans="1:8" x14ac:dyDescent="0.3">
      <c r="A69" s="2" t="s">
        <v>75</v>
      </c>
      <c r="B69" s="19">
        <f t="shared" si="2"/>
        <v>2013</v>
      </c>
      <c r="C69" s="19" t="str">
        <f t="shared" si="3"/>
        <v>Q4</v>
      </c>
      <c r="D69" s="25">
        <v>30362</v>
      </c>
      <c r="E69" s="26">
        <v>27633</v>
      </c>
      <c r="F69" s="25">
        <v>2720</v>
      </c>
      <c r="G69" s="25">
        <v>1560</v>
      </c>
      <c r="H69" s="27">
        <v>1160</v>
      </c>
    </row>
    <row r="70" spans="1:8" x14ac:dyDescent="0.3">
      <c r="A70" s="2" t="s">
        <v>76</v>
      </c>
      <c r="B70" s="19">
        <f t="shared" si="2"/>
        <v>2014</v>
      </c>
      <c r="C70" s="19" t="str">
        <f t="shared" si="3"/>
        <v>Q1</v>
      </c>
      <c r="D70" s="25">
        <v>30446</v>
      </c>
      <c r="E70" s="26">
        <v>27645</v>
      </c>
      <c r="F70" s="25">
        <v>2796</v>
      </c>
      <c r="G70" s="25">
        <v>1632</v>
      </c>
      <c r="H70" s="27">
        <v>1164</v>
      </c>
    </row>
    <row r="71" spans="1:8" x14ac:dyDescent="0.3">
      <c r="A71" s="7" t="s">
        <v>77</v>
      </c>
      <c r="B71" s="19">
        <f t="shared" si="2"/>
        <v>2014</v>
      </c>
      <c r="C71" s="19" t="str">
        <f t="shared" si="3"/>
        <v>Q2</v>
      </c>
      <c r="D71" s="25">
        <v>30628</v>
      </c>
      <c r="E71" s="26">
        <v>27699</v>
      </c>
      <c r="F71" s="25">
        <v>2926</v>
      </c>
      <c r="G71" s="25">
        <v>1737</v>
      </c>
      <c r="H71" s="27">
        <v>1189</v>
      </c>
    </row>
    <row r="72" spans="1:8" x14ac:dyDescent="0.3">
      <c r="A72" s="7" t="s">
        <v>78</v>
      </c>
      <c r="B72" s="19">
        <f t="shared" si="2"/>
        <v>2014</v>
      </c>
      <c r="C72" s="19" t="str">
        <f t="shared" si="3"/>
        <v>Q3</v>
      </c>
      <c r="D72" s="25">
        <v>30918</v>
      </c>
      <c r="E72" s="26">
        <v>27992</v>
      </c>
      <c r="F72" s="25">
        <v>2904</v>
      </c>
      <c r="G72" s="25">
        <v>1707</v>
      </c>
      <c r="H72" s="27">
        <v>1197</v>
      </c>
    </row>
    <row r="73" spans="1:8" x14ac:dyDescent="0.3">
      <c r="A73" s="7" t="s">
        <v>79</v>
      </c>
      <c r="B73" s="19">
        <f t="shared" si="2"/>
        <v>2014</v>
      </c>
      <c r="C73" s="19" t="str">
        <f t="shared" si="3"/>
        <v>Q4</v>
      </c>
      <c r="D73" s="25">
        <v>31018</v>
      </c>
      <c r="E73" s="26">
        <v>28042</v>
      </c>
      <c r="F73" s="25">
        <v>2970</v>
      </c>
      <c r="G73" s="25">
        <v>1827</v>
      </c>
      <c r="H73" s="27">
        <v>1143</v>
      </c>
    </row>
    <row r="74" spans="1:8" x14ac:dyDescent="0.3">
      <c r="A74" s="7" t="s">
        <v>80</v>
      </c>
      <c r="B74" s="19">
        <f t="shared" si="2"/>
        <v>2015</v>
      </c>
      <c r="C74" s="19" t="str">
        <f t="shared" si="3"/>
        <v>Q1</v>
      </c>
      <c r="D74" s="25">
        <v>31074</v>
      </c>
      <c r="E74" s="26">
        <v>27962</v>
      </c>
      <c r="F74" s="25">
        <v>3106</v>
      </c>
      <c r="G74" s="25">
        <v>1922</v>
      </c>
      <c r="H74" s="27">
        <v>1184</v>
      </c>
    </row>
    <row r="75" spans="1:8" x14ac:dyDescent="0.3">
      <c r="A75" s="7" t="s">
        <v>81</v>
      </c>
      <c r="B75" s="19">
        <f t="shared" si="2"/>
        <v>2015</v>
      </c>
      <c r="C75" s="19" t="str">
        <f t="shared" si="3"/>
        <v>Q2</v>
      </c>
      <c r="D75" s="25">
        <v>31035</v>
      </c>
      <c r="E75" s="26">
        <v>27828</v>
      </c>
      <c r="F75" s="25">
        <v>3203</v>
      </c>
      <c r="G75" s="25">
        <v>1996</v>
      </c>
      <c r="H75" s="27">
        <v>1207</v>
      </c>
    </row>
    <row r="76" spans="1:8" x14ac:dyDescent="0.3">
      <c r="A76" s="7" t="s">
        <v>82</v>
      </c>
      <c r="B76" s="19">
        <f t="shared" si="2"/>
        <v>2015</v>
      </c>
      <c r="C76" s="19" t="str">
        <f t="shared" si="3"/>
        <v>Q3</v>
      </c>
      <c r="D76" s="25">
        <v>31416</v>
      </c>
      <c r="E76" s="26">
        <v>28169</v>
      </c>
      <c r="F76" s="25">
        <v>3243</v>
      </c>
      <c r="G76" s="25">
        <v>2038</v>
      </c>
      <c r="H76" s="27">
        <v>1205</v>
      </c>
    </row>
    <row r="77" spans="1:8" x14ac:dyDescent="0.3">
      <c r="A77" s="7" t="s">
        <v>83</v>
      </c>
      <c r="B77" s="19">
        <f t="shared" si="2"/>
        <v>2015</v>
      </c>
      <c r="C77" s="19" t="str">
        <f t="shared" si="3"/>
        <v>Q4</v>
      </c>
      <c r="D77" s="25">
        <v>31615</v>
      </c>
      <c r="E77" s="26">
        <v>28370</v>
      </c>
      <c r="F77" s="25">
        <v>3238</v>
      </c>
      <c r="G77" s="25">
        <v>2049</v>
      </c>
      <c r="H77" s="27">
        <v>1189</v>
      </c>
    </row>
    <row r="78" spans="1:8" x14ac:dyDescent="0.3">
      <c r="A78" s="7" t="s">
        <v>84</v>
      </c>
      <c r="B78" s="19">
        <f t="shared" si="2"/>
        <v>2016</v>
      </c>
      <c r="C78" s="19" t="str">
        <f t="shared" si="3"/>
        <v>Q1</v>
      </c>
      <c r="D78" s="25">
        <v>31499</v>
      </c>
      <c r="E78" s="26">
        <v>28164</v>
      </c>
      <c r="F78" s="25">
        <v>3330</v>
      </c>
      <c r="G78" s="25">
        <v>2144</v>
      </c>
      <c r="H78" s="27">
        <v>1186</v>
      </c>
    </row>
    <row r="79" spans="1:8" x14ac:dyDescent="0.3">
      <c r="A79" s="7" t="s">
        <v>85</v>
      </c>
      <c r="B79" s="19">
        <f t="shared" si="2"/>
        <v>2016</v>
      </c>
      <c r="C79" s="19" t="str">
        <f t="shared" si="3"/>
        <v>Q2</v>
      </c>
      <c r="D79" s="25">
        <v>31673</v>
      </c>
      <c r="E79" s="26">
        <v>28228</v>
      </c>
      <c r="F79" s="25">
        <v>3442</v>
      </c>
      <c r="G79" s="25">
        <v>2234</v>
      </c>
      <c r="H79" s="27">
        <v>1208</v>
      </c>
    </row>
    <row r="80" spans="1:8" x14ac:dyDescent="0.3">
      <c r="A80" s="7" t="s">
        <v>86</v>
      </c>
      <c r="B80" s="19">
        <f t="shared" si="2"/>
        <v>2016</v>
      </c>
      <c r="C80" s="19" t="str">
        <f t="shared" si="3"/>
        <v>Q3</v>
      </c>
      <c r="D80" s="25">
        <v>31890</v>
      </c>
      <c r="E80" s="26">
        <v>28402</v>
      </c>
      <c r="F80" s="25">
        <v>3484</v>
      </c>
      <c r="G80" s="25">
        <v>2259</v>
      </c>
      <c r="H80" s="27">
        <v>1225</v>
      </c>
    </row>
    <row r="81" spans="1:8" x14ac:dyDescent="0.3">
      <c r="A81" s="7" t="s">
        <v>87</v>
      </c>
      <c r="B81" s="19">
        <f t="shared" si="2"/>
        <v>2016</v>
      </c>
      <c r="C81" s="19" t="str">
        <f t="shared" si="3"/>
        <v>Q4</v>
      </c>
      <c r="D81" s="25">
        <v>31920</v>
      </c>
      <c r="E81" s="26">
        <v>28444</v>
      </c>
      <c r="F81" s="25">
        <v>3473</v>
      </c>
      <c r="G81" s="25">
        <v>2239</v>
      </c>
      <c r="H81" s="27">
        <v>1234</v>
      </c>
    </row>
    <row r="82" spans="1:8" x14ac:dyDescent="0.3">
      <c r="A82" s="7" t="s">
        <v>88</v>
      </c>
      <c r="B82" s="19">
        <f t="shared" si="2"/>
        <v>2017</v>
      </c>
      <c r="C82" s="19" t="str">
        <f t="shared" si="3"/>
        <v>Q1</v>
      </c>
      <c r="D82" s="25">
        <v>31878</v>
      </c>
      <c r="E82" s="26">
        <v>28347</v>
      </c>
      <c r="F82" s="25">
        <v>3526</v>
      </c>
      <c r="G82" s="25">
        <v>2307</v>
      </c>
      <c r="H82" s="27">
        <v>1219</v>
      </c>
    </row>
    <row r="83" spans="1:8" x14ac:dyDescent="0.3">
      <c r="A83" s="7" t="s">
        <v>89</v>
      </c>
      <c r="B83" s="19">
        <f t="shared" si="2"/>
        <v>2017</v>
      </c>
      <c r="C83" s="19" t="str">
        <f t="shared" si="3"/>
        <v>Q2</v>
      </c>
      <c r="D83" s="25">
        <v>31996</v>
      </c>
      <c r="E83" s="26">
        <v>28454</v>
      </c>
      <c r="F83" s="25">
        <v>3537</v>
      </c>
      <c r="G83" s="25">
        <v>2349</v>
      </c>
      <c r="H83" s="27">
        <v>1189</v>
      </c>
    </row>
    <row r="84" spans="1:8" x14ac:dyDescent="0.3">
      <c r="A84" s="7" t="s">
        <v>90</v>
      </c>
      <c r="B84" s="19">
        <f t="shared" si="2"/>
        <v>2017</v>
      </c>
      <c r="C84" s="19" t="str">
        <f t="shared" si="3"/>
        <v>Q3</v>
      </c>
      <c r="D84" s="25">
        <v>32138</v>
      </c>
      <c r="E84" s="26">
        <v>28569</v>
      </c>
      <c r="F84" s="25">
        <v>3564</v>
      </c>
      <c r="G84" s="25">
        <v>2363</v>
      </c>
      <c r="H84" s="27">
        <v>1201</v>
      </c>
    </row>
    <row r="85" spans="1:8" x14ac:dyDescent="0.3">
      <c r="A85" s="7" t="s">
        <v>91</v>
      </c>
      <c r="B85" s="19">
        <f t="shared" si="2"/>
        <v>2017</v>
      </c>
      <c r="C85" s="19" t="str">
        <f t="shared" si="3"/>
        <v>Q4</v>
      </c>
      <c r="D85" s="25">
        <v>32230</v>
      </c>
      <c r="E85" s="26">
        <v>28726</v>
      </c>
      <c r="F85" s="25">
        <v>3500</v>
      </c>
      <c r="G85" s="25">
        <v>2335</v>
      </c>
      <c r="H85" s="27">
        <v>1165</v>
      </c>
    </row>
    <row r="86" spans="1:8" x14ac:dyDescent="0.3">
      <c r="A86" s="7" t="s">
        <v>92</v>
      </c>
      <c r="B86" s="19">
        <f t="shared" si="2"/>
        <v>2018</v>
      </c>
      <c r="C86" s="19" t="str">
        <f t="shared" si="3"/>
        <v>Q1</v>
      </c>
      <c r="D86" s="25">
        <v>32277</v>
      </c>
      <c r="E86" s="26">
        <v>28753</v>
      </c>
      <c r="F86" s="25">
        <v>3520</v>
      </c>
      <c r="G86" s="25">
        <v>2283</v>
      </c>
      <c r="H86" s="27">
        <v>1237</v>
      </c>
    </row>
    <row r="87" spans="1:8" x14ac:dyDescent="0.3">
      <c r="A87" s="7" t="s">
        <v>93</v>
      </c>
      <c r="B87" s="19">
        <f t="shared" si="2"/>
        <v>2018</v>
      </c>
      <c r="C87" s="19" t="str">
        <f t="shared" si="3"/>
        <v>Q2</v>
      </c>
      <c r="D87" s="25">
        <v>32321</v>
      </c>
      <c r="E87" s="26">
        <v>28787</v>
      </c>
      <c r="F87" s="25">
        <v>3527</v>
      </c>
      <c r="G87" s="25">
        <v>2269</v>
      </c>
      <c r="H87" s="27">
        <v>1258</v>
      </c>
    </row>
    <row r="88" spans="1:8" x14ac:dyDescent="0.3">
      <c r="A88" s="7" t="s">
        <v>94</v>
      </c>
      <c r="B88" s="19">
        <f t="shared" si="2"/>
        <v>2018</v>
      </c>
      <c r="C88" s="19" t="str">
        <f t="shared" si="3"/>
        <v>Q3</v>
      </c>
      <c r="D88" s="25">
        <v>32503</v>
      </c>
      <c r="E88" s="26">
        <v>29028</v>
      </c>
      <c r="F88" s="25">
        <v>3467</v>
      </c>
      <c r="G88" s="25">
        <v>2231</v>
      </c>
      <c r="H88" s="27">
        <v>1236</v>
      </c>
    </row>
    <row r="89" spans="1:8" x14ac:dyDescent="0.3">
      <c r="A89" s="7" t="s">
        <v>95</v>
      </c>
      <c r="B89" s="19">
        <f t="shared" si="2"/>
        <v>2018</v>
      </c>
      <c r="C89" s="19" t="str">
        <f t="shared" si="3"/>
        <v>Q4</v>
      </c>
      <c r="D89" s="25">
        <v>32671</v>
      </c>
      <c r="E89" s="26">
        <v>29098</v>
      </c>
      <c r="F89" s="25">
        <v>3569</v>
      </c>
      <c r="G89" s="25">
        <v>2274</v>
      </c>
      <c r="H89" s="27">
        <v>1295</v>
      </c>
    </row>
    <row r="90" spans="1:8" x14ac:dyDescent="0.3">
      <c r="A90" s="8" t="s">
        <v>96</v>
      </c>
      <c r="B90" s="19">
        <f t="shared" si="2"/>
        <v>2019</v>
      </c>
      <c r="C90" s="19" t="str">
        <f t="shared" si="3"/>
        <v>Q1</v>
      </c>
      <c r="D90" s="29">
        <v>32770</v>
      </c>
      <c r="E90" s="31">
        <v>29056</v>
      </c>
      <c r="F90" s="29">
        <v>3713</v>
      </c>
      <c r="G90" s="29">
        <v>2395</v>
      </c>
      <c r="H90" s="33">
        <v>1319</v>
      </c>
    </row>
    <row r="91" spans="1:8" x14ac:dyDescent="0.3">
      <c r="A91" s="7" t="s">
        <v>97</v>
      </c>
      <c r="B91" s="19">
        <f t="shared" si="2"/>
        <v>2019</v>
      </c>
      <c r="C91" s="19" t="str">
        <f t="shared" si="3"/>
        <v>Q2</v>
      </c>
      <c r="D91" s="25">
        <v>32884</v>
      </c>
      <c r="E91" s="26">
        <v>29203</v>
      </c>
      <c r="F91" s="25">
        <v>3675</v>
      </c>
      <c r="G91" s="25">
        <v>2380</v>
      </c>
      <c r="H91" s="27">
        <v>1295</v>
      </c>
    </row>
    <row r="92" spans="1:8" x14ac:dyDescent="0.3">
      <c r="A92" s="7" t="s">
        <v>98</v>
      </c>
      <c r="B92" s="19">
        <f t="shared" si="2"/>
        <v>2019</v>
      </c>
      <c r="C92" s="19" t="str">
        <f t="shared" si="3"/>
        <v>Q3</v>
      </c>
      <c r="D92" s="25">
        <v>32923</v>
      </c>
      <c r="E92" s="26">
        <v>29319</v>
      </c>
      <c r="F92" s="25">
        <v>3600</v>
      </c>
      <c r="G92" s="25">
        <v>2246</v>
      </c>
      <c r="H92" s="27">
        <v>1354</v>
      </c>
    </row>
    <row r="93" spans="1:8" x14ac:dyDescent="0.3">
      <c r="A93" s="7" t="s">
        <v>99</v>
      </c>
      <c r="B93" s="19">
        <f t="shared" si="2"/>
        <v>2019</v>
      </c>
      <c r="C93" s="19" t="str">
        <f t="shared" si="3"/>
        <v>Q4</v>
      </c>
      <c r="D93" s="25">
        <v>33098</v>
      </c>
      <c r="E93" s="26">
        <v>29433</v>
      </c>
      <c r="F93" s="25">
        <v>3661</v>
      </c>
      <c r="G93" s="25">
        <v>2318</v>
      </c>
      <c r="H93" s="27">
        <v>1343</v>
      </c>
    </row>
    <row r="94" spans="1:8" x14ac:dyDescent="0.3">
      <c r="A94" s="7" t="s">
        <v>100</v>
      </c>
      <c r="B94" s="19">
        <f t="shared" si="2"/>
        <v>2020</v>
      </c>
      <c r="C94" s="19" t="str">
        <f t="shared" si="3"/>
        <v>Q1</v>
      </c>
      <c r="D94" s="25">
        <v>32977</v>
      </c>
      <c r="E94" s="26">
        <v>29104</v>
      </c>
      <c r="F94" s="25">
        <v>3863</v>
      </c>
      <c r="G94" s="25">
        <v>2456</v>
      </c>
      <c r="H94" s="27">
        <v>1407</v>
      </c>
    </row>
    <row r="95" spans="1:8" x14ac:dyDescent="0.3">
      <c r="A95" s="7" t="s">
        <v>101</v>
      </c>
      <c r="B95" s="19">
        <f t="shared" si="2"/>
        <v>2020</v>
      </c>
      <c r="C95" s="19" t="str">
        <f t="shared" si="3"/>
        <v>Q2</v>
      </c>
      <c r="D95" s="25">
        <v>32553</v>
      </c>
      <c r="E95" s="26">
        <v>28948</v>
      </c>
      <c r="F95" s="25">
        <v>3589</v>
      </c>
      <c r="G95" s="25">
        <v>2242</v>
      </c>
      <c r="H95" s="27">
        <v>1347</v>
      </c>
    </row>
    <row r="96" spans="1:8" x14ac:dyDescent="0.3">
      <c r="A96" s="7" t="s">
        <v>102</v>
      </c>
      <c r="B96" s="19">
        <f t="shared" si="2"/>
        <v>2020</v>
      </c>
      <c r="C96" s="19" t="str">
        <f t="shared" si="3"/>
        <v>Q3</v>
      </c>
      <c r="D96" s="25">
        <v>32386</v>
      </c>
      <c r="E96" s="26">
        <v>29083</v>
      </c>
      <c r="F96" s="25">
        <v>3301</v>
      </c>
      <c r="G96" s="25">
        <v>1969</v>
      </c>
      <c r="H96" s="27">
        <v>1331</v>
      </c>
    </row>
    <row r="97" spans="1:8" x14ac:dyDescent="0.3">
      <c r="A97" s="7" t="s">
        <v>103</v>
      </c>
      <c r="B97" s="19">
        <f t="shared" si="2"/>
        <v>2020</v>
      </c>
      <c r="C97" s="19" t="str">
        <f t="shared" si="3"/>
        <v>Q4</v>
      </c>
      <c r="D97" s="25">
        <v>32304</v>
      </c>
      <c r="E97" s="26">
        <v>29080</v>
      </c>
      <c r="F97" s="25">
        <v>3221</v>
      </c>
      <c r="G97" s="25">
        <v>1907</v>
      </c>
      <c r="H97" s="27">
        <v>1314</v>
      </c>
    </row>
    <row r="98" spans="1:8" x14ac:dyDescent="0.3">
      <c r="A98" s="7" t="s">
        <v>104</v>
      </c>
      <c r="B98" s="19">
        <f t="shared" si="2"/>
        <v>2021</v>
      </c>
      <c r="C98" s="19" t="str">
        <f t="shared" si="3"/>
        <v>Q1</v>
      </c>
      <c r="D98" s="25">
        <v>32319</v>
      </c>
      <c r="E98" s="26">
        <v>29110</v>
      </c>
      <c r="F98" s="25">
        <v>3207</v>
      </c>
      <c r="G98" s="25">
        <v>1872</v>
      </c>
      <c r="H98" s="27">
        <v>1335</v>
      </c>
    </row>
    <row r="99" spans="1:8" x14ac:dyDescent="0.3">
      <c r="A99" s="7" t="s">
        <v>105</v>
      </c>
      <c r="B99" s="19">
        <f t="shared" si="2"/>
        <v>2021</v>
      </c>
      <c r="C99" s="19" t="str">
        <f t="shared" si="3"/>
        <v>Q2</v>
      </c>
      <c r="D99" s="25">
        <v>32369</v>
      </c>
      <c r="E99" s="26">
        <v>29008</v>
      </c>
      <c r="F99" s="25">
        <v>3355</v>
      </c>
      <c r="G99" s="25">
        <v>1942</v>
      </c>
      <c r="H99" s="27">
        <v>1413</v>
      </c>
    </row>
    <row r="100" spans="1:8" x14ac:dyDescent="0.3">
      <c r="A100" s="7" t="s">
        <v>106</v>
      </c>
      <c r="B100" s="19">
        <f t="shared" si="2"/>
        <v>2021</v>
      </c>
      <c r="C100" s="19" t="str">
        <f t="shared" si="3"/>
        <v>Q3</v>
      </c>
      <c r="D100" s="25">
        <v>32752</v>
      </c>
      <c r="E100" s="26">
        <v>29276</v>
      </c>
      <c r="F100" s="25">
        <v>3472</v>
      </c>
      <c r="G100" s="25">
        <v>1969</v>
      </c>
      <c r="H100" s="27">
        <v>1503</v>
      </c>
    </row>
    <row r="101" spans="1:8" x14ac:dyDescent="0.3">
      <c r="A101" s="7" t="s">
        <v>107</v>
      </c>
      <c r="B101" s="19">
        <f t="shared" si="2"/>
        <v>2021</v>
      </c>
      <c r="C101" s="19" t="str">
        <f t="shared" si="3"/>
        <v>Q4</v>
      </c>
      <c r="D101" s="25">
        <v>32766</v>
      </c>
      <c r="E101" s="26">
        <v>29305</v>
      </c>
      <c r="F101" s="25">
        <v>3455</v>
      </c>
      <c r="G101" s="25">
        <v>1943</v>
      </c>
      <c r="H101" s="27">
        <v>1511</v>
      </c>
    </row>
    <row r="102" spans="1:8" x14ac:dyDescent="0.3">
      <c r="A102" s="7" t="s">
        <v>108</v>
      </c>
      <c r="B102" s="19">
        <f t="shared" si="2"/>
        <v>2022</v>
      </c>
      <c r="C102" s="19" t="str">
        <f t="shared" si="3"/>
        <v>Q1</v>
      </c>
      <c r="D102" s="25">
        <v>32796</v>
      </c>
      <c r="E102" s="26">
        <v>29109</v>
      </c>
      <c r="F102" s="25">
        <v>3671</v>
      </c>
      <c r="G102" s="25">
        <v>2042</v>
      </c>
      <c r="H102" s="27">
        <v>1630</v>
      </c>
    </row>
    <row r="103" spans="1:8" x14ac:dyDescent="0.3">
      <c r="A103" s="7" t="s">
        <v>109</v>
      </c>
      <c r="B103" s="19">
        <f t="shared" si="2"/>
        <v>2022</v>
      </c>
      <c r="C103" s="19" t="str">
        <f t="shared" si="3"/>
        <v>Q2</v>
      </c>
      <c r="D103" s="25">
        <v>32924</v>
      </c>
      <c r="E103" s="26">
        <v>29039</v>
      </c>
      <c r="F103" s="25">
        <v>3874</v>
      </c>
      <c r="G103" s="25">
        <v>2047</v>
      </c>
      <c r="H103" s="27">
        <v>1827</v>
      </c>
    </row>
    <row r="104" spans="1:8" x14ac:dyDescent="0.3">
      <c r="A104" s="7" t="s">
        <v>110</v>
      </c>
      <c r="B104" s="19">
        <f t="shared" si="2"/>
        <v>2022</v>
      </c>
      <c r="C104" s="19" t="str">
        <f t="shared" si="3"/>
        <v>Q3</v>
      </c>
      <c r="D104" s="25">
        <v>32953</v>
      </c>
      <c r="E104" s="26">
        <v>28926</v>
      </c>
      <c r="F104" s="25">
        <v>4022</v>
      </c>
      <c r="G104" s="25">
        <v>2052</v>
      </c>
      <c r="H104" s="27">
        <v>1971</v>
      </c>
    </row>
    <row r="105" spans="1:8" x14ac:dyDescent="0.3">
      <c r="A105" s="7" t="s">
        <v>111</v>
      </c>
      <c r="B105" s="19">
        <f t="shared" si="2"/>
        <v>2022</v>
      </c>
      <c r="C105" s="19" t="str">
        <f t="shared" si="3"/>
        <v>Q4</v>
      </c>
      <c r="D105" s="25">
        <v>33149</v>
      </c>
      <c r="E105" s="26">
        <v>28943</v>
      </c>
      <c r="F105" s="25">
        <v>4201</v>
      </c>
      <c r="G105" s="25">
        <v>2161</v>
      </c>
      <c r="H105" s="27">
        <v>2040</v>
      </c>
    </row>
    <row r="106" spans="1:8" x14ac:dyDescent="0.3">
      <c r="A106" s="7" t="s">
        <v>112</v>
      </c>
      <c r="B106" s="19">
        <f t="shared" si="2"/>
        <v>2023</v>
      </c>
      <c r="C106" s="19" t="str">
        <f t="shared" si="3"/>
        <v>Q1</v>
      </c>
      <c r="D106" s="25">
        <v>33329</v>
      </c>
      <c r="E106" s="26">
        <v>29057</v>
      </c>
      <c r="F106" s="25">
        <v>4269</v>
      </c>
      <c r="G106" s="25">
        <v>2179</v>
      </c>
      <c r="H106" s="27">
        <v>2090</v>
      </c>
    </row>
    <row r="107" spans="1:8" x14ac:dyDescent="0.3">
      <c r="A107" s="7" t="s">
        <v>113</v>
      </c>
      <c r="B107" s="19">
        <f t="shared" si="2"/>
        <v>2023</v>
      </c>
      <c r="C107" s="19" t="str">
        <f t="shared" si="3"/>
        <v>Q2</v>
      </c>
      <c r="D107" s="25">
        <v>33275</v>
      </c>
      <c r="E107" s="26">
        <v>28966</v>
      </c>
      <c r="F107" s="25">
        <v>4304</v>
      </c>
      <c r="G107" s="25">
        <v>2152</v>
      </c>
      <c r="H107" s="27">
        <v>2153</v>
      </c>
    </row>
    <row r="108" spans="1:8" x14ac:dyDescent="0.3">
      <c r="A108" s="7" t="s">
        <v>114</v>
      </c>
      <c r="B108" s="19">
        <f t="shared" si="2"/>
        <v>2023</v>
      </c>
      <c r="C108" s="19" t="str">
        <f t="shared" si="3"/>
        <v>Q3</v>
      </c>
      <c r="D108" s="25">
        <v>33379</v>
      </c>
      <c r="E108" s="26">
        <v>28976</v>
      </c>
      <c r="F108" s="25">
        <v>4397</v>
      </c>
      <c r="G108" s="25">
        <v>2249</v>
      </c>
      <c r="H108" s="27">
        <v>2148</v>
      </c>
    </row>
    <row r="109" spans="1:8" x14ac:dyDescent="0.3">
      <c r="A109" s="7" t="s">
        <v>115</v>
      </c>
      <c r="B109" s="19">
        <f t="shared" si="2"/>
        <v>2023</v>
      </c>
      <c r="C109" s="19" t="str">
        <f t="shared" si="3"/>
        <v>Q4</v>
      </c>
      <c r="D109" s="25">
        <v>33412</v>
      </c>
      <c r="E109" s="26">
        <v>28870</v>
      </c>
      <c r="F109" s="25">
        <v>4534</v>
      </c>
      <c r="G109" s="25">
        <v>2230</v>
      </c>
      <c r="H109" s="27">
        <v>2305</v>
      </c>
    </row>
    <row r="110" spans="1:8" x14ac:dyDescent="0.3">
      <c r="A110" s="7" t="s">
        <v>116</v>
      </c>
      <c r="B110" s="19">
        <f t="shared" si="2"/>
        <v>2024</v>
      </c>
      <c r="C110" s="19" t="str">
        <f t="shared" si="3"/>
        <v>Q1</v>
      </c>
      <c r="D110" s="25">
        <v>33334</v>
      </c>
      <c r="E110" s="26">
        <v>28841</v>
      </c>
      <c r="F110" s="25">
        <v>4491</v>
      </c>
      <c r="G110" s="25">
        <v>2116</v>
      </c>
      <c r="H110" s="27">
        <v>2375</v>
      </c>
    </row>
    <row r="111" spans="1:8" x14ac:dyDescent="0.3">
      <c r="A111" s="7" t="s">
        <v>117</v>
      </c>
      <c r="B111" s="19">
        <f t="shared" si="2"/>
        <v>2024</v>
      </c>
      <c r="C111" s="19" t="str">
        <f t="shared" si="3"/>
        <v>Q2</v>
      </c>
      <c r="D111" s="25">
        <v>33417</v>
      </c>
      <c r="E111" s="26">
        <v>28886</v>
      </c>
      <c r="F111" s="25">
        <v>4528</v>
      </c>
      <c r="G111" s="25">
        <v>2141</v>
      </c>
      <c r="H111" s="27">
        <v>2387</v>
      </c>
    </row>
    <row r="112" spans="1:8" x14ac:dyDescent="0.3">
      <c r="A112" s="7" t="s">
        <v>118</v>
      </c>
      <c r="B112" s="19">
        <f t="shared" si="2"/>
        <v>2024</v>
      </c>
      <c r="C112" s="19" t="str">
        <f t="shared" si="3"/>
        <v>Q3</v>
      </c>
      <c r="D112" s="25">
        <v>33804</v>
      </c>
      <c r="E112" s="26">
        <v>29106</v>
      </c>
      <c r="F112" s="25">
        <v>4696</v>
      </c>
      <c r="G112" s="25">
        <v>2112</v>
      </c>
      <c r="H112" s="27">
        <v>2583</v>
      </c>
    </row>
    <row r="113" spans="1:8" x14ac:dyDescent="0.3">
      <c r="A113" s="7" t="s">
        <v>119</v>
      </c>
      <c r="B113" s="19">
        <f t="shared" si="2"/>
        <v>2024</v>
      </c>
      <c r="C113" s="19" t="str">
        <f t="shared" si="3"/>
        <v>Q4</v>
      </c>
      <c r="D113" s="25">
        <v>33896</v>
      </c>
      <c r="E113" s="26">
        <v>29186</v>
      </c>
      <c r="F113" s="25">
        <v>4703</v>
      </c>
      <c r="G113" s="25">
        <v>2135</v>
      </c>
      <c r="H113" s="27">
        <v>2568</v>
      </c>
    </row>
    <row r="114" spans="1:8" x14ac:dyDescent="0.3">
      <c r="A114" s="7" t="s">
        <v>120</v>
      </c>
      <c r="B114" s="19">
        <f t="shared" si="2"/>
        <v>2025</v>
      </c>
      <c r="C114" s="19" t="str">
        <f t="shared" si="3"/>
        <v>Q1</v>
      </c>
      <c r="D114" s="25">
        <v>33979</v>
      </c>
      <c r="E114" s="26">
        <v>29254</v>
      </c>
      <c r="F114" s="25">
        <v>4719</v>
      </c>
      <c r="G114" s="25">
        <v>2163</v>
      </c>
      <c r="H114" s="27">
        <v>2556</v>
      </c>
    </row>
    <row r="115" spans="1:8" x14ac:dyDescent="0.3">
      <c r="A115" s="7" t="s">
        <v>121</v>
      </c>
      <c r="B115" s="19">
        <f t="shared" si="2"/>
        <v>2025</v>
      </c>
      <c r="C115" s="19" t="str">
        <f t="shared" si="3"/>
        <v>Q2</v>
      </c>
      <c r="D115" s="25">
        <v>34170</v>
      </c>
      <c r="E115" s="26">
        <v>29339</v>
      </c>
      <c r="F115" s="25">
        <v>4826</v>
      </c>
      <c r="G115" s="25">
        <v>2133</v>
      </c>
      <c r="H115" s="27">
        <v>2693</v>
      </c>
    </row>
    <row r="116" spans="1:8" x14ac:dyDescent="0.3">
      <c r="A116" s="7" t="s">
        <v>122</v>
      </c>
      <c r="B116" s="19">
        <f t="shared" si="2"/>
        <v>2025</v>
      </c>
      <c r="C116" s="19" t="str">
        <f t="shared" si="3"/>
        <v>Q3</v>
      </c>
      <c r="D116" s="25">
        <v>34216</v>
      </c>
      <c r="E116" s="26">
        <v>29263</v>
      </c>
      <c r="F116" s="25">
        <v>4948</v>
      </c>
      <c r="G116" s="25">
        <v>2133</v>
      </c>
      <c r="H116" s="27">
        <v>2815</v>
      </c>
    </row>
    <row r="117" spans="1:8" x14ac:dyDescent="0.3">
      <c r="A117" s="7" t="s">
        <v>123</v>
      </c>
      <c r="B117" s="19">
        <f t="shared" si="2"/>
        <v>2025</v>
      </c>
      <c r="C117" s="19" t="str">
        <f t="shared" si="3"/>
        <v>Q4</v>
      </c>
      <c r="D117" s="25">
        <v>34275</v>
      </c>
      <c r="E117" s="26">
        <v>29394</v>
      </c>
      <c r="F117" s="25">
        <v>4879</v>
      </c>
      <c r="G117" s="25">
        <v>2180</v>
      </c>
      <c r="H117" s="27">
        <v>2698</v>
      </c>
    </row>
    <row r="118" spans="1:8" x14ac:dyDescent="0.3">
      <c r="A118" s="14" t="s">
        <v>124</v>
      </c>
      <c r="B118" s="19">
        <f t="shared" si="2"/>
        <v>2026</v>
      </c>
      <c r="C118" s="19" t="str">
        <f t="shared" si="3"/>
        <v>Q1</v>
      </c>
      <c r="D118" s="34">
        <v>34369</v>
      </c>
      <c r="E118" s="35">
        <v>29277</v>
      </c>
      <c r="F118" s="34">
        <v>5091</v>
      </c>
      <c r="G118" s="34">
        <v>2281</v>
      </c>
      <c r="H118" s="37">
        <v>2810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99B5-150B-48C4-BD44-9C945DE0FA0E}">
  <dimension ref="A1:H118"/>
  <sheetViews>
    <sheetView topLeftCell="A4" workbookViewId="0">
      <selection activeCell="F1" sqref="F1"/>
    </sheetView>
  </sheetViews>
  <sheetFormatPr defaultRowHeight="14.4" x14ac:dyDescent="0.3"/>
  <cols>
    <col min="1" max="3" width="17.33203125" customWidth="1"/>
    <col min="4" max="4" width="12.5546875" customWidth="1"/>
    <col min="5" max="5" width="14.44140625" customWidth="1"/>
    <col min="6" max="6" width="16" customWidth="1"/>
    <col min="7" max="7" width="15.33203125" customWidth="1"/>
    <col min="8" max="8" width="15.88671875" customWidth="1"/>
  </cols>
  <sheetData>
    <row r="1" spans="1:8" x14ac:dyDescent="0.3">
      <c r="A1" s="20" t="s">
        <v>0</v>
      </c>
      <c r="B1" s="20" t="s">
        <v>1</v>
      </c>
      <c r="C1" s="20" t="s">
        <v>2</v>
      </c>
      <c r="D1" s="21" t="s">
        <v>125</v>
      </c>
      <c r="E1" s="22" t="s">
        <v>126</v>
      </c>
      <c r="F1" s="20" t="s">
        <v>132</v>
      </c>
      <c r="G1" s="20" t="s">
        <v>128</v>
      </c>
      <c r="H1" s="23" t="s">
        <v>129</v>
      </c>
    </row>
    <row r="2" spans="1:8" x14ac:dyDescent="0.3">
      <c r="A2" s="2" t="s">
        <v>8</v>
      </c>
      <c r="B2" s="19">
        <f>(RIGHT(TRIM(A2),4))*1</f>
        <v>1997</v>
      </c>
      <c r="C2" s="19" t="str">
        <f>IF(LEFT(A2,3)="Jan","Q1",IF(LEFT(A2,3)="Apr","Q2",IF(LEFT(A2,3)="Jul","Q3",IF(LEFT(A2,3)="Oct","Q4",""))))</f>
        <v>Q1</v>
      </c>
      <c r="D2" s="19">
        <v>70.400000000000006</v>
      </c>
      <c r="E2" s="2">
        <v>70.900000000000006</v>
      </c>
      <c r="F2" s="19">
        <v>58.4</v>
      </c>
      <c r="G2" s="19">
        <v>64.3</v>
      </c>
      <c r="H2" s="24">
        <v>54.1</v>
      </c>
    </row>
    <row r="3" spans="1:8" x14ac:dyDescent="0.3">
      <c r="A3" s="2" t="s">
        <v>9</v>
      </c>
      <c r="B3" s="19">
        <f t="shared" ref="B3:B66" si="0">(RIGHT(TRIM(A3),4))*1</f>
        <v>1997</v>
      </c>
      <c r="C3" s="19" t="str">
        <f t="shared" ref="C3:C66" si="1">IF(LEFT(A3,3)="Jan","Q1",IF(LEFT(A3,3)="Apr","Q2",IF(LEFT(A3,3)="Jul","Q3",IF(LEFT(A3,3)="Oct","Q4",""))))</f>
        <v>Q2</v>
      </c>
      <c r="D3" s="19">
        <v>70.8</v>
      </c>
      <c r="E3" s="2">
        <v>71.400000000000006</v>
      </c>
      <c r="F3" s="19">
        <v>59.3</v>
      </c>
      <c r="G3" s="19">
        <v>64.7</v>
      </c>
      <c r="H3" s="24">
        <v>55.5</v>
      </c>
    </row>
    <row r="4" spans="1:8" x14ac:dyDescent="0.3">
      <c r="A4" s="2" t="s">
        <v>10</v>
      </c>
      <c r="B4" s="19">
        <f t="shared" si="0"/>
        <v>1997</v>
      </c>
      <c r="C4" s="19" t="str">
        <f t="shared" si="1"/>
        <v>Q3</v>
      </c>
      <c r="D4" s="19">
        <v>71.400000000000006</v>
      </c>
      <c r="E4" s="2">
        <v>72</v>
      </c>
      <c r="F4" s="19">
        <v>59.8</v>
      </c>
      <c r="G4" s="19">
        <v>66.5</v>
      </c>
      <c r="H4" s="24">
        <v>55.3</v>
      </c>
    </row>
    <row r="5" spans="1:8" x14ac:dyDescent="0.3">
      <c r="A5" s="2" t="s">
        <v>11</v>
      </c>
      <c r="B5" s="19">
        <f t="shared" si="0"/>
        <v>1997</v>
      </c>
      <c r="C5" s="19" t="str">
        <f t="shared" si="1"/>
        <v>Q4</v>
      </c>
      <c r="D5" s="19">
        <v>71.400000000000006</v>
      </c>
      <c r="E5" s="2">
        <v>71.900000000000006</v>
      </c>
      <c r="F5" s="19">
        <v>59.7</v>
      </c>
      <c r="G5" s="19">
        <v>66.2</v>
      </c>
      <c r="H5" s="24">
        <v>55.2</v>
      </c>
    </row>
    <row r="6" spans="1:8" x14ac:dyDescent="0.3">
      <c r="A6" s="2" t="s">
        <v>12</v>
      </c>
      <c r="B6" s="19">
        <f t="shared" si="0"/>
        <v>1998</v>
      </c>
      <c r="C6" s="19" t="str">
        <f t="shared" si="1"/>
        <v>Q1</v>
      </c>
      <c r="D6" s="19">
        <v>70.900000000000006</v>
      </c>
      <c r="E6" s="2">
        <v>71.400000000000006</v>
      </c>
      <c r="F6" s="19">
        <v>60.4</v>
      </c>
      <c r="G6" s="19">
        <v>66.599999999999994</v>
      </c>
      <c r="H6" s="24">
        <v>56</v>
      </c>
    </row>
    <row r="7" spans="1:8" x14ac:dyDescent="0.3">
      <c r="A7" s="2" t="s">
        <v>13</v>
      </c>
      <c r="B7" s="19">
        <f t="shared" si="0"/>
        <v>1998</v>
      </c>
      <c r="C7" s="19" t="str">
        <f t="shared" si="1"/>
        <v>Q2</v>
      </c>
      <c r="D7" s="19">
        <v>71.099999999999994</v>
      </c>
      <c r="E7" s="2">
        <v>71.7</v>
      </c>
      <c r="F7" s="19">
        <v>59.3</v>
      </c>
      <c r="G7" s="19">
        <v>66.099999999999994</v>
      </c>
      <c r="H7" s="24">
        <v>54.4</v>
      </c>
    </row>
    <row r="8" spans="1:8" x14ac:dyDescent="0.3">
      <c r="A8" s="2" t="s">
        <v>14</v>
      </c>
      <c r="B8" s="19">
        <f t="shared" si="0"/>
        <v>1998</v>
      </c>
      <c r="C8" s="19" t="str">
        <f t="shared" si="1"/>
        <v>Q3</v>
      </c>
      <c r="D8" s="19">
        <v>71.900000000000006</v>
      </c>
      <c r="E8" s="2">
        <v>72.5</v>
      </c>
      <c r="F8" s="19">
        <v>59.4</v>
      </c>
      <c r="G8" s="19">
        <v>67.3</v>
      </c>
      <c r="H8" s="24">
        <v>53.8</v>
      </c>
    </row>
    <row r="9" spans="1:8" x14ac:dyDescent="0.3">
      <c r="A9" s="2" t="s">
        <v>15</v>
      </c>
      <c r="B9" s="19">
        <f t="shared" si="0"/>
        <v>1998</v>
      </c>
      <c r="C9" s="19" t="str">
        <f t="shared" si="1"/>
        <v>Q4</v>
      </c>
      <c r="D9" s="19">
        <v>71.900000000000006</v>
      </c>
      <c r="E9" s="2">
        <v>72.599999999999994</v>
      </c>
      <c r="F9" s="19">
        <v>59.2</v>
      </c>
      <c r="G9" s="19">
        <v>67.2</v>
      </c>
      <c r="H9" s="24">
        <v>53.5</v>
      </c>
    </row>
    <row r="10" spans="1:8" x14ac:dyDescent="0.3">
      <c r="A10" s="2" t="s">
        <v>16</v>
      </c>
      <c r="B10" s="19">
        <f t="shared" si="0"/>
        <v>1999</v>
      </c>
      <c r="C10" s="19" t="str">
        <f t="shared" si="1"/>
        <v>Q1</v>
      </c>
      <c r="D10" s="19">
        <v>71.5</v>
      </c>
      <c r="E10" s="2">
        <v>72.099999999999994</v>
      </c>
      <c r="F10" s="19">
        <v>59.5</v>
      </c>
      <c r="G10" s="19">
        <v>66.900000000000006</v>
      </c>
      <c r="H10" s="24">
        <v>53.9</v>
      </c>
    </row>
    <row r="11" spans="1:8" x14ac:dyDescent="0.3">
      <c r="A11" s="2" t="s">
        <v>17</v>
      </c>
      <c r="B11" s="19">
        <f t="shared" si="0"/>
        <v>1999</v>
      </c>
      <c r="C11" s="19" t="str">
        <f t="shared" si="1"/>
        <v>Q2</v>
      </c>
      <c r="D11" s="19">
        <v>71.7</v>
      </c>
      <c r="E11" s="2">
        <v>72.3</v>
      </c>
      <c r="F11" s="19">
        <v>58.8</v>
      </c>
      <c r="G11" s="19">
        <v>66.5</v>
      </c>
      <c r="H11" s="24">
        <v>53.4</v>
      </c>
    </row>
    <row r="12" spans="1:8" x14ac:dyDescent="0.3">
      <c r="A12" s="2" t="s">
        <v>18</v>
      </c>
      <c r="B12" s="19">
        <f t="shared" si="0"/>
        <v>1999</v>
      </c>
      <c r="C12" s="19" t="str">
        <f t="shared" si="1"/>
        <v>Q3</v>
      </c>
      <c r="D12" s="19">
        <v>72.5</v>
      </c>
      <c r="E12" s="2">
        <v>73</v>
      </c>
      <c r="F12" s="19">
        <v>61.4</v>
      </c>
      <c r="G12" s="19">
        <v>68.7</v>
      </c>
      <c r="H12" s="24">
        <v>56.6</v>
      </c>
    </row>
    <row r="13" spans="1:8" x14ac:dyDescent="0.3">
      <c r="A13" s="2" t="s">
        <v>19</v>
      </c>
      <c r="B13" s="19">
        <f t="shared" si="0"/>
        <v>1999</v>
      </c>
      <c r="C13" s="19" t="str">
        <f t="shared" si="1"/>
        <v>Q4</v>
      </c>
      <c r="D13" s="19">
        <v>72.400000000000006</v>
      </c>
      <c r="E13" s="2">
        <v>73.099999999999994</v>
      </c>
      <c r="F13" s="19">
        <v>60.1</v>
      </c>
      <c r="G13" s="19">
        <v>66.7</v>
      </c>
      <c r="H13" s="24">
        <v>55.6</v>
      </c>
    </row>
    <row r="14" spans="1:8" x14ac:dyDescent="0.3">
      <c r="A14" s="2" t="s">
        <v>20</v>
      </c>
      <c r="B14" s="19">
        <f t="shared" si="0"/>
        <v>2000</v>
      </c>
      <c r="C14" s="19" t="str">
        <f t="shared" si="1"/>
        <v>Q1</v>
      </c>
      <c r="D14" s="19">
        <v>71.900000000000006</v>
      </c>
      <c r="E14" s="2">
        <v>72.599999999999994</v>
      </c>
      <c r="F14" s="19">
        <v>59.1</v>
      </c>
      <c r="G14" s="19">
        <v>65.8</v>
      </c>
      <c r="H14" s="24">
        <v>54.6</v>
      </c>
    </row>
    <row r="15" spans="1:8" x14ac:dyDescent="0.3">
      <c r="A15" s="2" t="s">
        <v>21</v>
      </c>
      <c r="B15" s="19">
        <f t="shared" si="0"/>
        <v>2000</v>
      </c>
      <c r="C15" s="19" t="str">
        <f t="shared" si="1"/>
        <v>Q2</v>
      </c>
      <c r="D15" s="19">
        <v>72.3</v>
      </c>
      <c r="E15" s="2">
        <v>73</v>
      </c>
      <c r="F15" s="19">
        <v>59.4</v>
      </c>
      <c r="G15" s="19">
        <v>66.099999999999994</v>
      </c>
      <c r="H15" s="24">
        <v>55.2</v>
      </c>
    </row>
    <row r="16" spans="1:8" x14ac:dyDescent="0.3">
      <c r="A16" s="2" t="s">
        <v>22</v>
      </c>
      <c r="B16" s="19">
        <f t="shared" si="0"/>
        <v>2000</v>
      </c>
      <c r="C16" s="19" t="str">
        <f t="shared" si="1"/>
        <v>Q3</v>
      </c>
      <c r="D16" s="19">
        <v>73</v>
      </c>
      <c r="E16" s="2">
        <v>73.599999999999994</v>
      </c>
      <c r="F16" s="19">
        <v>61</v>
      </c>
      <c r="G16" s="19">
        <v>70</v>
      </c>
      <c r="H16" s="24">
        <v>55.9</v>
      </c>
    </row>
    <row r="17" spans="1:8" x14ac:dyDescent="0.3">
      <c r="A17" s="2" t="s">
        <v>23</v>
      </c>
      <c r="B17" s="19">
        <f t="shared" si="0"/>
        <v>2000</v>
      </c>
      <c r="C17" s="19" t="str">
        <f t="shared" si="1"/>
        <v>Q4</v>
      </c>
      <c r="D17" s="19">
        <v>72.7</v>
      </c>
      <c r="E17" s="2">
        <v>73.3</v>
      </c>
      <c r="F17" s="19">
        <v>61.5</v>
      </c>
      <c r="G17" s="19">
        <v>70.099999999999994</v>
      </c>
      <c r="H17" s="24">
        <v>56.3</v>
      </c>
    </row>
    <row r="18" spans="1:8" x14ac:dyDescent="0.3">
      <c r="A18" s="2" t="s">
        <v>24</v>
      </c>
      <c r="B18" s="19">
        <f t="shared" si="0"/>
        <v>2001</v>
      </c>
      <c r="C18" s="19" t="str">
        <f t="shared" si="1"/>
        <v>Q1</v>
      </c>
      <c r="D18" s="19">
        <v>72.3</v>
      </c>
      <c r="E18" s="2">
        <v>73</v>
      </c>
      <c r="F18" s="19">
        <v>60.3</v>
      </c>
      <c r="G18" s="19">
        <v>69.3</v>
      </c>
      <c r="H18" s="24">
        <v>55</v>
      </c>
    </row>
    <row r="19" spans="1:8" x14ac:dyDescent="0.3">
      <c r="A19" s="2" t="s">
        <v>25</v>
      </c>
      <c r="B19" s="19">
        <f t="shared" si="0"/>
        <v>2001</v>
      </c>
      <c r="C19" s="19" t="str">
        <f t="shared" si="1"/>
        <v>Q2</v>
      </c>
      <c r="D19" s="19">
        <v>72.5</v>
      </c>
      <c r="E19" s="2">
        <v>73.2</v>
      </c>
      <c r="F19" s="19">
        <v>60.7</v>
      </c>
      <c r="G19" s="19">
        <v>69.8</v>
      </c>
      <c r="H19" s="24">
        <v>55.3</v>
      </c>
    </row>
    <row r="20" spans="1:8" x14ac:dyDescent="0.3">
      <c r="A20" s="2" t="s">
        <v>26</v>
      </c>
      <c r="B20" s="19">
        <f t="shared" si="0"/>
        <v>2001</v>
      </c>
      <c r="C20" s="19" t="str">
        <f t="shared" si="1"/>
        <v>Q3</v>
      </c>
      <c r="D20" s="19">
        <v>72.900000000000006</v>
      </c>
      <c r="E20" s="2">
        <v>73.5</v>
      </c>
      <c r="F20" s="19">
        <v>61.9</v>
      </c>
      <c r="G20" s="19">
        <v>69.2</v>
      </c>
      <c r="H20" s="24">
        <v>57.7</v>
      </c>
    </row>
    <row r="21" spans="1:8" x14ac:dyDescent="0.3">
      <c r="A21" s="2" t="s">
        <v>27</v>
      </c>
      <c r="B21" s="19">
        <f t="shared" si="0"/>
        <v>2001</v>
      </c>
      <c r="C21" s="19" t="str">
        <f t="shared" si="1"/>
        <v>Q4</v>
      </c>
      <c r="D21" s="19">
        <v>72.7</v>
      </c>
      <c r="E21" s="2">
        <v>73.400000000000006</v>
      </c>
      <c r="F21" s="19">
        <v>61.4</v>
      </c>
      <c r="G21" s="19">
        <v>67.7</v>
      </c>
      <c r="H21" s="24">
        <v>57.8</v>
      </c>
    </row>
    <row r="22" spans="1:8" x14ac:dyDescent="0.3">
      <c r="A22" s="2" t="s">
        <v>28</v>
      </c>
      <c r="B22" s="19">
        <f t="shared" si="0"/>
        <v>2002</v>
      </c>
      <c r="C22" s="19" t="str">
        <f t="shared" si="1"/>
        <v>Q1</v>
      </c>
      <c r="D22" s="19">
        <v>72.2</v>
      </c>
      <c r="E22" s="2">
        <v>72.900000000000006</v>
      </c>
      <c r="F22" s="19">
        <v>59.9</v>
      </c>
      <c r="G22" s="19">
        <v>66.8</v>
      </c>
      <c r="H22" s="24">
        <v>55.9</v>
      </c>
    </row>
    <row r="23" spans="1:8" x14ac:dyDescent="0.3">
      <c r="A23" s="2" t="s">
        <v>29</v>
      </c>
      <c r="B23" s="19">
        <f t="shared" si="0"/>
        <v>2002</v>
      </c>
      <c r="C23" s="19" t="str">
        <f t="shared" si="1"/>
        <v>Q2</v>
      </c>
      <c r="D23" s="19">
        <v>72.5</v>
      </c>
      <c r="E23" s="2">
        <v>73.2</v>
      </c>
      <c r="F23" s="19">
        <v>61.2</v>
      </c>
      <c r="G23" s="19">
        <v>68.599999999999994</v>
      </c>
      <c r="H23" s="24">
        <v>57.1</v>
      </c>
    </row>
    <row r="24" spans="1:8" x14ac:dyDescent="0.3">
      <c r="A24" s="2" t="s">
        <v>30</v>
      </c>
      <c r="B24" s="19">
        <f t="shared" si="0"/>
        <v>2002</v>
      </c>
      <c r="C24" s="19" t="str">
        <f t="shared" si="1"/>
        <v>Q3</v>
      </c>
      <c r="D24" s="19">
        <v>72.900000000000006</v>
      </c>
      <c r="E24" s="2">
        <v>73.5</v>
      </c>
      <c r="F24" s="19">
        <v>61.9</v>
      </c>
      <c r="G24" s="19">
        <v>68.8</v>
      </c>
      <c r="H24" s="24">
        <v>58.1</v>
      </c>
    </row>
    <row r="25" spans="1:8" x14ac:dyDescent="0.3">
      <c r="A25" s="2" t="s">
        <v>31</v>
      </c>
      <c r="B25" s="19">
        <f t="shared" si="0"/>
        <v>2002</v>
      </c>
      <c r="C25" s="19" t="str">
        <f t="shared" si="1"/>
        <v>Q4</v>
      </c>
      <c r="D25" s="19">
        <v>73</v>
      </c>
      <c r="E25" s="2">
        <v>73.7</v>
      </c>
      <c r="F25" s="19">
        <v>62.6</v>
      </c>
      <c r="G25" s="19">
        <v>69.400000000000006</v>
      </c>
      <c r="H25" s="24">
        <v>58.9</v>
      </c>
    </row>
    <row r="26" spans="1:8" x14ac:dyDescent="0.3">
      <c r="A26" s="2" t="s">
        <v>32</v>
      </c>
      <c r="B26" s="19">
        <f t="shared" si="0"/>
        <v>2003</v>
      </c>
      <c r="C26" s="19" t="str">
        <f t="shared" si="1"/>
        <v>Q1</v>
      </c>
      <c r="D26" s="19">
        <v>72.400000000000006</v>
      </c>
      <c r="E26" s="2">
        <v>73.099999999999994</v>
      </c>
      <c r="F26" s="19">
        <v>61.1</v>
      </c>
      <c r="G26" s="19">
        <v>69.5</v>
      </c>
      <c r="H26" s="24">
        <v>56.5</v>
      </c>
    </row>
    <row r="27" spans="1:8" x14ac:dyDescent="0.3">
      <c r="A27" s="2" t="s">
        <v>33</v>
      </c>
      <c r="B27" s="19">
        <f t="shared" si="0"/>
        <v>2003</v>
      </c>
      <c r="C27" s="19" t="str">
        <f t="shared" si="1"/>
        <v>Q2</v>
      </c>
      <c r="D27" s="19">
        <v>72.7</v>
      </c>
      <c r="E27" s="2">
        <v>73.400000000000006</v>
      </c>
      <c r="F27" s="19">
        <v>62</v>
      </c>
      <c r="G27" s="19">
        <v>70</v>
      </c>
      <c r="H27" s="24">
        <v>57.6</v>
      </c>
    </row>
    <row r="28" spans="1:8" x14ac:dyDescent="0.3">
      <c r="A28" s="2" t="s">
        <v>34</v>
      </c>
      <c r="B28" s="19">
        <f t="shared" si="0"/>
        <v>2003</v>
      </c>
      <c r="C28" s="19" t="str">
        <f t="shared" si="1"/>
        <v>Q3</v>
      </c>
      <c r="D28" s="19">
        <v>73.099999999999994</v>
      </c>
      <c r="E28" s="2">
        <v>73.7</v>
      </c>
      <c r="F28" s="19">
        <v>63.7</v>
      </c>
      <c r="G28" s="19">
        <v>70.2</v>
      </c>
      <c r="H28" s="24">
        <v>60.3</v>
      </c>
    </row>
    <row r="29" spans="1:8" x14ac:dyDescent="0.3">
      <c r="A29" s="2" t="s">
        <v>35</v>
      </c>
      <c r="B29" s="19">
        <f t="shared" si="0"/>
        <v>2003</v>
      </c>
      <c r="C29" s="19" t="str">
        <f t="shared" si="1"/>
        <v>Q4</v>
      </c>
      <c r="D29" s="19">
        <v>72.900000000000006</v>
      </c>
      <c r="E29" s="2">
        <v>73.599999999999994</v>
      </c>
      <c r="F29" s="19">
        <v>61.9</v>
      </c>
      <c r="G29" s="19">
        <v>68.7</v>
      </c>
      <c r="H29" s="24">
        <v>58.1</v>
      </c>
    </row>
    <row r="30" spans="1:8" x14ac:dyDescent="0.3">
      <c r="A30" s="2" t="s">
        <v>36</v>
      </c>
      <c r="B30" s="19">
        <f t="shared" si="0"/>
        <v>2004</v>
      </c>
      <c r="C30" s="19" t="str">
        <f t="shared" si="1"/>
        <v>Q1</v>
      </c>
      <c r="D30" s="19">
        <v>72.8</v>
      </c>
      <c r="E30" s="2">
        <v>73.5</v>
      </c>
      <c r="F30" s="19">
        <v>62.1</v>
      </c>
      <c r="G30" s="19">
        <v>66.2</v>
      </c>
      <c r="H30" s="24">
        <v>59.8</v>
      </c>
    </row>
    <row r="31" spans="1:8" x14ac:dyDescent="0.3">
      <c r="A31" s="2" t="s">
        <v>37</v>
      </c>
      <c r="B31" s="19">
        <f t="shared" si="0"/>
        <v>2004</v>
      </c>
      <c r="C31" s="19" t="str">
        <f t="shared" si="1"/>
        <v>Q2</v>
      </c>
      <c r="D31" s="19">
        <v>72.7</v>
      </c>
      <c r="E31" s="2">
        <v>73.3</v>
      </c>
      <c r="F31" s="19">
        <v>63.9</v>
      </c>
      <c r="G31" s="19">
        <v>69.7</v>
      </c>
      <c r="H31" s="24">
        <v>60.6</v>
      </c>
    </row>
    <row r="32" spans="1:8" x14ac:dyDescent="0.3">
      <c r="A32" s="2" t="s">
        <v>38</v>
      </c>
      <c r="B32" s="19">
        <f t="shared" si="0"/>
        <v>2004</v>
      </c>
      <c r="C32" s="19" t="str">
        <f t="shared" si="1"/>
        <v>Q3</v>
      </c>
      <c r="D32" s="19">
        <v>73.2</v>
      </c>
      <c r="E32" s="2">
        <v>73.7</v>
      </c>
      <c r="F32" s="19">
        <v>64.400000000000006</v>
      </c>
      <c r="G32" s="19">
        <v>71.3</v>
      </c>
      <c r="H32" s="24">
        <v>60.7</v>
      </c>
    </row>
    <row r="33" spans="1:8" x14ac:dyDescent="0.3">
      <c r="A33" s="2" t="s">
        <v>39</v>
      </c>
      <c r="B33" s="19">
        <f t="shared" si="0"/>
        <v>2004</v>
      </c>
      <c r="C33" s="19" t="str">
        <f t="shared" si="1"/>
        <v>Q4</v>
      </c>
      <c r="D33" s="19">
        <v>73.2</v>
      </c>
      <c r="E33" s="2">
        <v>73.8</v>
      </c>
      <c r="F33" s="19">
        <v>64.8</v>
      </c>
      <c r="G33" s="19">
        <v>73.900000000000006</v>
      </c>
      <c r="H33" s="24">
        <v>60</v>
      </c>
    </row>
    <row r="34" spans="1:8" x14ac:dyDescent="0.3">
      <c r="A34" s="2" t="s">
        <v>40</v>
      </c>
      <c r="B34" s="19">
        <f t="shared" si="0"/>
        <v>2005</v>
      </c>
      <c r="C34" s="19" t="str">
        <f t="shared" si="1"/>
        <v>Q1</v>
      </c>
      <c r="D34" s="19">
        <v>72.900000000000006</v>
      </c>
      <c r="E34" s="2">
        <v>73.400000000000006</v>
      </c>
      <c r="F34" s="19">
        <v>64.900000000000006</v>
      </c>
      <c r="G34" s="19">
        <v>72.2</v>
      </c>
      <c r="H34" s="24">
        <v>60.9</v>
      </c>
    </row>
    <row r="35" spans="1:8" x14ac:dyDescent="0.3">
      <c r="A35" s="2" t="s">
        <v>41</v>
      </c>
      <c r="B35" s="19">
        <f t="shared" si="0"/>
        <v>2005</v>
      </c>
      <c r="C35" s="19" t="str">
        <f t="shared" si="1"/>
        <v>Q2</v>
      </c>
      <c r="D35" s="19">
        <v>72.7</v>
      </c>
      <c r="E35" s="2">
        <v>73.400000000000006</v>
      </c>
      <c r="F35" s="19">
        <v>63</v>
      </c>
      <c r="G35" s="19">
        <v>71.400000000000006</v>
      </c>
      <c r="H35" s="24">
        <v>58.2</v>
      </c>
    </row>
    <row r="36" spans="1:8" x14ac:dyDescent="0.3">
      <c r="A36" s="2" t="s">
        <v>42</v>
      </c>
      <c r="B36" s="19">
        <f t="shared" si="0"/>
        <v>2005</v>
      </c>
      <c r="C36" s="19" t="str">
        <f t="shared" si="1"/>
        <v>Q3</v>
      </c>
      <c r="D36" s="19">
        <v>73.3</v>
      </c>
      <c r="E36" s="2">
        <v>74</v>
      </c>
      <c r="F36" s="19">
        <v>64.400000000000006</v>
      </c>
      <c r="G36" s="19">
        <v>72.599999999999994</v>
      </c>
      <c r="H36" s="24">
        <v>59.4</v>
      </c>
    </row>
    <row r="37" spans="1:8" x14ac:dyDescent="0.3">
      <c r="A37" s="2" t="s">
        <v>43</v>
      </c>
      <c r="B37" s="19">
        <f t="shared" si="0"/>
        <v>2005</v>
      </c>
      <c r="C37" s="19" t="str">
        <f t="shared" si="1"/>
        <v>Q4</v>
      </c>
      <c r="D37" s="19">
        <v>72.8</v>
      </c>
      <c r="E37" s="2">
        <v>73.400000000000006</v>
      </c>
      <c r="F37" s="19">
        <v>65.5</v>
      </c>
      <c r="G37" s="19">
        <v>72.3</v>
      </c>
      <c r="H37" s="24">
        <v>61.2</v>
      </c>
    </row>
    <row r="38" spans="1:8" x14ac:dyDescent="0.3">
      <c r="A38" s="2" t="s">
        <v>44</v>
      </c>
      <c r="B38" s="19">
        <f t="shared" si="0"/>
        <v>2006</v>
      </c>
      <c r="C38" s="19" t="str">
        <f t="shared" si="1"/>
        <v>Q1</v>
      </c>
      <c r="D38" s="19">
        <v>72.7</v>
      </c>
      <c r="E38" s="2">
        <v>73.2</v>
      </c>
      <c r="F38" s="19">
        <v>66.2</v>
      </c>
      <c r="G38" s="19">
        <v>73.7</v>
      </c>
      <c r="H38" s="24">
        <v>61.7</v>
      </c>
    </row>
    <row r="39" spans="1:8" x14ac:dyDescent="0.3">
      <c r="A39" s="2" t="s">
        <v>45</v>
      </c>
      <c r="B39" s="19">
        <f t="shared" si="0"/>
        <v>2006</v>
      </c>
      <c r="C39" s="19" t="str">
        <f t="shared" si="1"/>
        <v>Q2</v>
      </c>
      <c r="D39" s="19">
        <v>72.599999999999994</v>
      </c>
      <c r="E39" s="2">
        <v>73.099999999999994</v>
      </c>
      <c r="F39" s="19">
        <v>67.2</v>
      </c>
      <c r="G39" s="19">
        <v>74.7</v>
      </c>
      <c r="H39" s="24">
        <v>62.9</v>
      </c>
    </row>
    <row r="40" spans="1:8" x14ac:dyDescent="0.3">
      <c r="A40" s="2" t="s">
        <v>46</v>
      </c>
      <c r="B40" s="19">
        <f t="shared" si="0"/>
        <v>2006</v>
      </c>
      <c r="C40" s="19" t="str">
        <f t="shared" si="1"/>
        <v>Q3</v>
      </c>
      <c r="D40" s="19">
        <v>73.099999999999994</v>
      </c>
      <c r="E40" s="2">
        <v>73.5</v>
      </c>
      <c r="F40" s="19">
        <v>68.5</v>
      </c>
      <c r="G40" s="19">
        <v>76.599999999999994</v>
      </c>
      <c r="H40" s="24">
        <v>63.8</v>
      </c>
    </row>
    <row r="41" spans="1:8" x14ac:dyDescent="0.3">
      <c r="A41" s="2" t="s">
        <v>47</v>
      </c>
      <c r="B41" s="19">
        <f t="shared" si="0"/>
        <v>2006</v>
      </c>
      <c r="C41" s="19" t="str">
        <f t="shared" si="1"/>
        <v>Q4</v>
      </c>
      <c r="D41" s="19">
        <v>72.900000000000006</v>
      </c>
      <c r="E41" s="2">
        <v>73.3</v>
      </c>
      <c r="F41" s="19">
        <v>68.099999999999994</v>
      </c>
      <c r="G41" s="19">
        <v>76.5</v>
      </c>
      <c r="H41" s="24">
        <v>62.6</v>
      </c>
    </row>
    <row r="42" spans="1:8" x14ac:dyDescent="0.3">
      <c r="A42" s="2" t="s">
        <v>48</v>
      </c>
      <c r="B42" s="19">
        <f t="shared" si="0"/>
        <v>2007</v>
      </c>
      <c r="C42" s="19" t="str">
        <f t="shared" si="1"/>
        <v>Q1</v>
      </c>
      <c r="D42" s="19">
        <v>72.3</v>
      </c>
      <c r="E42" s="2">
        <v>72.8</v>
      </c>
      <c r="F42" s="19">
        <v>66.400000000000006</v>
      </c>
      <c r="G42" s="19">
        <v>76.400000000000006</v>
      </c>
      <c r="H42" s="24">
        <v>59.8</v>
      </c>
    </row>
    <row r="43" spans="1:8" x14ac:dyDescent="0.3">
      <c r="A43" s="2" t="s">
        <v>49</v>
      </c>
      <c r="B43" s="19">
        <f t="shared" si="0"/>
        <v>2007</v>
      </c>
      <c r="C43" s="19" t="str">
        <f t="shared" si="1"/>
        <v>Q2</v>
      </c>
      <c r="D43" s="19">
        <v>72.400000000000006</v>
      </c>
      <c r="E43" s="2">
        <v>72.900000000000006</v>
      </c>
      <c r="F43" s="19">
        <v>67.5</v>
      </c>
      <c r="G43" s="19">
        <v>76.400000000000006</v>
      </c>
      <c r="H43" s="24">
        <v>61.3</v>
      </c>
    </row>
    <row r="44" spans="1:8" x14ac:dyDescent="0.3">
      <c r="A44" s="2" t="s">
        <v>50</v>
      </c>
      <c r="B44" s="19">
        <f t="shared" si="0"/>
        <v>2007</v>
      </c>
      <c r="C44" s="19" t="str">
        <f t="shared" si="1"/>
        <v>Q3</v>
      </c>
      <c r="D44" s="19">
        <v>73</v>
      </c>
      <c r="E44" s="2">
        <v>73.400000000000006</v>
      </c>
      <c r="F44" s="19">
        <v>68.3</v>
      </c>
      <c r="G44" s="19">
        <v>77.7</v>
      </c>
      <c r="H44" s="24">
        <v>61.7</v>
      </c>
    </row>
    <row r="45" spans="1:8" x14ac:dyDescent="0.3">
      <c r="A45" s="2" t="s">
        <v>51</v>
      </c>
      <c r="B45" s="19">
        <f t="shared" si="0"/>
        <v>2007</v>
      </c>
      <c r="C45" s="19" t="str">
        <f t="shared" si="1"/>
        <v>Q4</v>
      </c>
      <c r="D45" s="19">
        <v>73.099999999999994</v>
      </c>
      <c r="E45" s="2">
        <v>73.599999999999994</v>
      </c>
      <c r="F45" s="19">
        <v>67.900000000000006</v>
      </c>
      <c r="G45" s="19">
        <v>78.099999999999994</v>
      </c>
      <c r="H45" s="24">
        <v>60.8</v>
      </c>
    </row>
    <row r="46" spans="1:8" x14ac:dyDescent="0.3">
      <c r="A46" s="2" t="s">
        <v>52</v>
      </c>
      <c r="B46" s="19">
        <f t="shared" si="0"/>
        <v>2008</v>
      </c>
      <c r="C46" s="19" t="str">
        <f t="shared" si="1"/>
        <v>Q1</v>
      </c>
      <c r="D46" s="19">
        <v>72.7</v>
      </c>
      <c r="E46" s="2">
        <v>73.099999999999994</v>
      </c>
      <c r="F46" s="19">
        <v>68.7</v>
      </c>
      <c r="G46" s="19">
        <v>77.900000000000006</v>
      </c>
      <c r="H46" s="24">
        <v>61.9</v>
      </c>
    </row>
    <row r="47" spans="1:8" x14ac:dyDescent="0.3">
      <c r="A47" s="2" t="s">
        <v>53</v>
      </c>
      <c r="B47" s="19">
        <f t="shared" si="0"/>
        <v>2008</v>
      </c>
      <c r="C47" s="19" t="str">
        <f t="shared" si="1"/>
        <v>Q2</v>
      </c>
      <c r="D47" s="19">
        <v>72.7</v>
      </c>
      <c r="E47" s="2">
        <v>73.099999999999994</v>
      </c>
      <c r="F47" s="19">
        <v>68.3</v>
      </c>
      <c r="G47" s="19">
        <v>78.099999999999994</v>
      </c>
      <c r="H47" s="24">
        <v>61.2</v>
      </c>
    </row>
    <row r="48" spans="1:8" x14ac:dyDescent="0.3">
      <c r="A48" s="2" t="s">
        <v>54</v>
      </c>
      <c r="B48" s="19">
        <f t="shared" si="0"/>
        <v>2008</v>
      </c>
      <c r="C48" s="19" t="str">
        <f t="shared" si="1"/>
        <v>Q3</v>
      </c>
      <c r="D48" s="19">
        <v>72.7</v>
      </c>
      <c r="E48" s="2">
        <v>73.099999999999994</v>
      </c>
      <c r="F48" s="19">
        <v>68.8</v>
      </c>
      <c r="G48" s="19">
        <v>78.3</v>
      </c>
      <c r="H48" s="24">
        <v>62</v>
      </c>
    </row>
    <row r="49" spans="1:8" x14ac:dyDescent="0.3">
      <c r="A49" s="2" t="s">
        <v>55</v>
      </c>
      <c r="B49" s="19">
        <f t="shared" si="0"/>
        <v>2008</v>
      </c>
      <c r="C49" s="19" t="str">
        <f t="shared" si="1"/>
        <v>Q4</v>
      </c>
      <c r="D49" s="19">
        <v>72.3</v>
      </c>
      <c r="E49" s="2">
        <v>72.7</v>
      </c>
      <c r="F49" s="19">
        <v>68.3</v>
      </c>
      <c r="G49" s="19">
        <v>76.5</v>
      </c>
      <c r="H49" s="24">
        <v>62.7</v>
      </c>
    </row>
    <row r="50" spans="1:8" x14ac:dyDescent="0.3">
      <c r="A50" s="2" t="s">
        <v>56</v>
      </c>
      <c r="B50" s="19">
        <f t="shared" si="0"/>
        <v>2009</v>
      </c>
      <c r="C50" s="19" t="str">
        <f t="shared" si="1"/>
        <v>Q1</v>
      </c>
      <c r="D50" s="19">
        <v>71.400000000000006</v>
      </c>
      <c r="E50" s="2">
        <v>71.8</v>
      </c>
      <c r="F50" s="19">
        <v>68.099999999999994</v>
      </c>
      <c r="G50" s="19">
        <v>77.2</v>
      </c>
      <c r="H50" s="24">
        <v>61.3</v>
      </c>
    </row>
    <row r="51" spans="1:8" x14ac:dyDescent="0.3">
      <c r="A51" s="2" t="s">
        <v>57</v>
      </c>
      <c r="B51" s="19">
        <f t="shared" si="0"/>
        <v>2009</v>
      </c>
      <c r="C51" s="19" t="str">
        <f t="shared" si="1"/>
        <v>Q2</v>
      </c>
      <c r="D51" s="19">
        <v>70.599999999999994</v>
      </c>
      <c r="E51" s="2">
        <v>71.099999999999994</v>
      </c>
      <c r="F51" s="19">
        <v>66.099999999999994</v>
      </c>
      <c r="G51" s="19">
        <v>75.599999999999994</v>
      </c>
      <c r="H51" s="24">
        <v>59.2</v>
      </c>
    </row>
    <row r="52" spans="1:8" x14ac:dyDescent="0.3">
      <c r="A52" s="2" t="s">
        <v>58</v>
      </c>
      <c r="B52" s="19">
        <f t="shared" si="0"/>
        <v>2009</v>
      </c>
      <c r="C52" s="19" t="str">
        <f t="shared" si="1"/>
        <v>Q3</v>
      </c>
      <c r="D52" s="19">
        <v>70.900000000000006</v>
      </c>
      <c r="E52" s="2">
        <v>71.2</v>
      </c>
      <c r="F52" s="19">
        <v>67.599999999999994</v>
      </c>
      <c r="G52" s="19">
        <v>76.400000000000006</v>
      </c>
      <c r="H52" s="24">
        <v>61</v>
      </c>
    </row>
    <row r="53" spans="1:8" x14ac:dyDescent="0.3">
      <c r="A53" s="2" t="s">
        <v>59</v>
      </c>
      <c r="B53" s="19">
        <f t="shared" si="0"/>
        <v>2009</v>
      </c>
      <c r="C53" s="19" t="str">
        <f t="shared" si="1"/>
        <v>Q4</v>
      </c>
      <c r="D53" s="19">
        <v>70.7</v>
      </c>
      <c r="E53" s="2">
        <v>71.099999999999994</v>
      </c>
      <c r="F53" s="19">
        <v>66.599999999999994</v>
      </c>
      <c r="G53" s="19">
        <v>75.3</v>
      </c>
      <c r="H53" s="24">
        <v>60.3</v>
      </c>
    </row>
    <row r="54" spans="1:8" x14ac:dyDescent="0.3">
      <c r="A54" s="2" t="s">
        <v>60</v>
      </c>
      <c r="B54" s="19">
        <f t="shared" si="0"/>
        <v>2010</v>
      </c>
      <c r="C54" s="19" t="str">
        <f t="shared" si="1"/>
        <v>Q1</v>
      </c>
      <c r="D54" s="19">
        <v>70</v>
      </c>
      <c r="E54" s="2">
        <v>70.400000000000006</v>
      </c>
      <c r="F54" s="19">
        <v>65.5</v>
      </c>
      <c r="G54" s="19">
        <v>74.5</v>
      </c>
      <c r="H54" s="24">
        <v>58.7</v>
      </c>
    </row>
    <row r="55" spans="1:8" x14ac:dyDescent="0.3">
      <c r="A55" s="2" t="s">
        <v>61</v>
      </c>
      <c r="B55" s="19">
        <f t="shared" si="0"/>
        <v>2010</v>
      </c>
      <c r="C55" s="19" t="str">
        <f t="shared" si="1"/>
        <v>Q2</v>
      </c>
      <c r="D55" s="19">
        <v>70.2</v>
      </c>
      <c r="E55" s="2">
        <v>70.599999999999994</v>
      </c>
      <c r="F55" s="19">
        <v>66.7</v>
      </c>
      <c r="G55" s="19">
        <v>75.5</v>
      </c>
      <c r="H55" s="24">
        <v>59.7</v>
      </c>
    </row>
    <row r="56" spans="1:8" x14ac:dyDescent="0.3">
      <c r="A56" s="2" t="s">
        <v>62</v>
      </c>
      <c r="B56" s="19">
        <f t="shared" si="0"/>
        <v>2010</v>
      </c>
      <c r="C56" s="19" t="str">
        <f t="shared" si="1"/>
        <v>Q3</v>
      </c>
      <c r="D56" s="19">
        <v>71</v>
      </c>
      <c r="E56" s="2">
        <v>71.3</v>
      </c>
      <c r="F56" s="19">
        <v>68.099999999999994</v>
      </c>
      <c r="G56" s="19">
        <v>76.099999999999994</v>
      </c>
      <c r="H56" s="24">
        <v>61.4</v>
      </c>
    </row>
    <row r="57" spans="1:8" x14ac:dyDescent="0.3">
      <c r="A57" s="2" t="s">
        <v>63</v>
      </c>
      <c r="B57" s="19">
        <f t="shared" si="0"/>
        <v>2010</v>
      </c>
      <c r="C57" s="19" t="str">
        <f t="shared" si="1"/>
        <v>Q4</v>
      </c>
      <c r="D57" s="19">
        <v>70.599999999999994</v>
      </c>
      <c r="E57" s="2">
        <v>70.8</v>
      </c>
      <c r="F57" s="19">
        <v>67.7</v>
      </c>
      <c r="G57" s="19">
        <v>76.099999999999994</v>
      </c>
      <c r="H57" s="24">
        <v>60.8</v>
      </c>
    </row>
    <row r="58" spans="1:8" x14ac:dyDescent="0.3">
      <c r="A58" s="2" t="s">
        <v>64</v>
      </c>
      <c r="B58" s="19">
        <f t="shared" si="0"/>
        <v>2011</v>
      </c>
      <c r="C58" s="19" t="str">
        <f t="shared" si="1"/>
        <v>Q1</v>
      </c>
      <c r="D58" s="19">
        <v>70.3</v>
      </c>
      <c r="E58" s="2">
        <v>70.599999999999994</v>
      </c>
      <c r="F58" s="19">
        <v>67.7</v>
      </c>
      <c r="G58" s="19">
        <v>76.8</v>
      </c>
      <c r="H58" s="24">
        <v>59.7</v>
      </c>
    </row>
    <row r="59" spans="1:8" x14ac:dyDescent="0.3">
      <c r="A59" s="2" t="s">
        <v>65</v>
      </c>
      <c r="B59" s="19">
        <f t="shared" si="0"/>
        <v>2011</v>
      </c>
      <c r="C59" s="19" t="str">
        <f t="shared" si="1"/>
        <v>Q2</v>
      </c>
      <c r="D59" s="19">
        <v>70.2</v>
      </c>
      <c r="E59" s="2">
        <v>70.5</v>
      </c>
      <c r="F59" s="19">
        <v>67.599999999999994</v>
      </c>
      <c r="G59" s="19">
        <v>77.3</v>
      </c>
      <c r="H59" s="24">
        <v>59.4</v>
      </c>
    </row>
    <row r="60" spans="1:8" x14ac:dyDescent="0.3">
      <c r="A60" s="2" t="s">
        <v>66</v>
      </c>
      <c r="B60" s="19">
        <f t="shared" si="0"/>
        <v>2011</v>
      </c>
      <c r="C60" s="19" t="str">
        <f t="shared" si="1"/>
        <v>Q3</v>
      </c>
      <c r="D60" s="19">
        <v>70.400000000000006</v>
      </c>
      <c r="E60" s="2">
        <v>70.599999999999994</v>
      </c>
      <c r="F60" s="19">
        <v>68.2</v>
      </c>
      <c r="G60" s="19">
        <v>76.8</v>
      </c>
      <c r="H60" s="24">
        <v>60.9</v>
      </c>
    </row>
    <row r="61" spans="1:8" x14ac:dyDescent="0.3">
      <c r="A61" s="2" t="s">
        <v>67</v>
      </c>
      <c r="B61" s="19">
        <f t="shared" si="0"/>
        <v>2011</v>
      </c>
      <c r="C61" s="19" t="str">
        <f t="shared" si="1"/>
        <v>Q4</v>
      </c>
      <c r="D61" s="19">
        <v>70.400000000000006</v>
      </c>
      <c r="E61" s="2">
        <v>70.7</v>
      </c>
      <c r="F61" s="19">
        <v>67.3</v>
      </c>
      <c r="G61" s="19">
        <v>75.400000000000006</v>
      </c>
      <c r="H61" s="24">
        <v>60.1</v>
      </c>
    </row>
    <row r="62" spans="1:8" x14ac:dyDescent="0.3">
      <c r="A62" s="2" t="s">
        <v>68</v>
      </c>
      <c r="B62" s="19">
        <f t="shared" si="0"/>
        <v>2012</v>
      </c>
      <c r="C62" s="19" t="str">
        <f t="shared" si="1"/>
        <v>Q1</v>
      </c>
      <c r="D62" s="19">
        <v>70.2</v>
      </c>
      <c r="E62" s="2">
        <v>70.7</v>
      </c>
      <c r="F62" s="19">
        <v>66.2</v>
      </c>
      <c r="G62" s="19">
        <v>75</v>
      </c>
      <c r="H62" s="24">
        <v>57.8</v>
      </c>
    </row>
    <row r="63" spans="1:8" x14ac:dyDescent="0.3">
      <c r="A63" s="2" t="s">
        <v>69</v>
      </c>
      <c r="B63" s="19">
        <f t="shared" si="0"/>
        <v>2012</v>
      </c>
      <c r="C63" s="19" t="str">
        <f t="shared" si="1"/>
        <v>Q2</v>
      </c>
      <c r="D63" s="19">
        <v>70.7</v>
      </c>
      <c r="E63" s="2">
        <v>71.099999999999994</v>
      </c>
      <c r="F63" s="19">
        <v>67.099999999999994</v>
      </c>
      <c r="G63" s="19">
        <v>75.7</v>
      </c>
      <c r="H63" s="24">
        <v>58.9</v>
      </c>
    </row>
    <row r="64" spans="1:8" x14ac:dyDescent="0.3">
      <c r="A64" s="2" t="s">
        <v>70</v>
      </c>
      <c r="B64" s="19">
        <f t="shared" si="0"/>
        <v>2012</v>
      </c>
      <c r="C64" s="19" t="str">
        <f t="shared" si="1"/>
        <v>Q3</v>
      </c>
      <c r="D64" s="19">
        <v>71.400000000000006</v>
      </c>
      <c r="E64" s="2">
        <v>71.7</v>
      </c>
      <c r="F64" s="19">
        <v>68.5</v>
      </c>
      <c r="G64" s="19">
        <v>77.099999999999994</v>
      </c>
      <c r="H64" s="24">
        <v>60.6</v>
      </c>
    </row>
    <row r="65" spans="1:8" x14ac:dyDescent="0.3">
      <c r="A65" s="2" t="s">
        <v>71</v>
      </c>
      <c r="B65" s="19">
        <f t="shared" si="0"/>
        <v>2012</v>
      </c>
      <c r="C65" s="19" t="str">
        <f t="shared" si="1"/>
        <v>Q4</v>
      </c>
      <c r="D65" s="19">
        <v>71.599999999999994</v>
      </c>
      <c r="E65" s="2">
        <v>72</v>
      </c>
      <c r="F65" s="19">
        <v>68.099999999999994</v>
      </c>
      <c r="G65" s="19">
        <v>77.2</v>
      </c>
      <c r="H65" s="24">
        <v>59.7</v>
      </c>
    </row>
    <row r="66" spans="1:8" x14ac:dyDescent="0.3">
      <c r="A66" s="2" t="s">
        <v>72</v>
      </c>
      <c r="B66" s="19">
        <f t="shared" si="0"/>
        <v>2013</v>
      </c>
      <c r="C66" s="19" t="str">
        <f t="shared" si="1"/>
        <v>Q1</v>
      </c>
      <c r="D66" s="19">
        <v>71</v>
      </c>
      <c r="E66" s="2">
        <v>71.3</v>
      </c>
      <c r="F66" s="19">
        <v>67.400000000000006</v>
      </c>
      <c r="G66" s="19">
        <v>76.7</v>
      </c>
      <c r="H66" s="24">
        <v>58.8</v>
      </c>
    </row>
    <row r="67" spans="1:8" x14ac:dyDescent="0.3">
      <c r="A67" s="2" t="s">
        <v>73</v>
      </c>
      <c r="B67" s="19">
        <f t="shared" ref="B67:B118" si="2">(RIGHT(TRIM(A67),4))*1</f>
        <v>2013</v>
      </c>
      <c r="C67" s="19" t="str">
        <f t="shared" ref="C67:C118" si="3">IF(LEFT(A67,3)="Jan","Q1",IF(LEFT(A67,3)="Apr","Q2",IF(LEFT(A67,3)="Jul","Q3",IF(LEFT(A67,3)="Oct","Q4",""))))</f>
        <v>Q2</v>
      </c>
      <c r="D67" s="19">
        <v>71.099999999999994</v>
      </c>
      <c r="E67" s="2">
        <v>71.5</v>
      </c>
      <c r="F67" s="19">
        <v>67.8</v>
      </c>
      <c r="G67" s="19">
        <v>77.3</v>
      </c>
      <c r="H67" s="24">
        <v>58.9</v>
      </c>
    </row>
    <row r="68" spans="1:8" x14ac:dyDescent="0.3">
      <c r="A68" s="2" t="s">
        <v>74</v>
      </c>
      <c r="B68" s="19">
        <f t="shared" si="2"/>
        <v>2013</v>
      </c>
      <c r="C68" s="19" t="str">
        <f t="shared" si="3"/>
        <v>Q3</v>
      </c>
      <c r="D68" s="19">
        <v>71.900000000000006</v>
      </c>
      <c r="E68" s="2">
        <v>72.2</v>
      </c>
      <c r="F68" s="19">
        <v>68.900000000000006</v>
      </c>
      <c r="G68" s="19">
        <v>77.5</v>
      </c>
      <c r="H68" s="24">
        <v>60.6</v>
      </c>
    </row>
    <row r="69" spans="1:8" x14ac:dyDescent="0.3">
      <c r="A69" s="2" t="s">
        <v>75</v>
      </c>
      <c r="B69" s="19">
        <f t="shared" si="2"/>
        <v>2013</v>
      </c>
      <c r="C69" s="19" t="str">
        <f t="shared" si="3"/>
        <v>Q4</v>
      </c>
      <c r="D69" s="19">
        <v>72.2</v>
      </c>
      <c r="E69" s="2">
        <v>72.5</v>
      </c>
      <c r="F69" s="19">
        <v>69.3</v>
      </c>
      <c r="G69" s="19">
        <v>77.7</v>
      </c>
      <c r="H69" s="24">
        <v>60.4</v>
      </c>
    </row>
    <row r="70" spans="1:8" x14ac:dyDescent="0.3">
      <c r="A70" s="2" t="s">
        <v>76</v>
      </c>
      <c r="B70" s="19">
        <f t="shared" si="2"/>
        <v>2014</v>
      </c>
      <c r="C70" s="19" t="str">
        <f t="shared" si="3"/>
        <v>Q1</v>
      </c>
      <c r="D70" s="19">
        <v>72.3</v>
      </c>
      <c r="E70" s="2">
        <v>72.599999999999994</v>
      </c>
      <c r="F70" s="19">
        <v>69.400000000000006</v>
      </c>
      <c r="G70" s="19">
        <v>77.8</v>
      </c>
      <c r="H70" s="24">
        <v>60.3</v>
      </c>
    </row>
    <row r="71" spans="1:8" x14ac:dyDescent="0.3">
      <c r="A71" s="7" t="s">
        <v>77</v>
      </c>
      <c r="B71" s="19">
        <f t="shared" si="2"/>
        <v>2014</v>
      </c>
      <c r="C71" s="19" t="str">
        <f t="shared" si="3"/>
        <v>Q2</v>
      </c>
      <c r="D71" s="19">
        <v>72.599999999999994</v>
      </c>
      <c r="E71" s="2">
        <v>72.900000000000006</v>
      </c>
      <c r="F71" s="19">
        <v>70.5</v>
      </c>
      <c r="G71" s="19">
        <v>79</v>
      </c>
      <c r="H71" s="24">
        <v>61</v>
      </c>
    </row>
    <row r="72" spans="1:8" x14ac:dyDescent="0.3">
      <c r="A72" s="7" t="s">
        <v>78</v>
      </c>
      <c r="B72" s="19">
        <f t="shared" si="2"/>
        <v>2014</v>
      </c>
      <c r="C72" s="19" t="str">
        <f t="shared" si="3"/>
        <v>Q3</v>
      </c>
      <c r="D72" s="19">
        <v>73.2</v>
      </c>
      <c r="E72" s="2">
        <v>73.599999999999994</v>
      </c>
      <c r="F72" s="19">
        <v>70.5</v>
      </c>
      <c r="G72" s="19">
        <v>78.2</v>
      </c>
      <c r="H72" s="24">
        <v>61.7</v>
      </c>
    </row>
    <row r="73" spans="1:8" x14ac:dyDescent="0.3">
      <c r="A73" s="7" t="s">
        <v>79</v>
      </c>
      <c r="B73" s="19">
        <f t="shared" si="2"/>
        <v>2014</v>
      </c>
      <c r="C73" s="19" t="str">
        <f t="shared" si="3"/>
        <v>Q4</v>
      </c>
      <c r="D73" s="19">
        <v>73.400000000000006</v>
      </c>
      <c r="E73" s="2">
        <v>73.8</v>
      </c>
      <c r="F73" s="19">
        <v>69.900000000000006</v>
      </c>
      <c r="G73" s="19">
        <v>79</v>
      </c>
      <c r="H73" s="24">
        <v>59</v>
      </c>
    </row>
    <row r="74" spans="1:8" x14ac:dyDescent="0.3">
      <c r="A74" s="7" t="s">
        <v>80</v>
      </c>
      <c r="B74" s="19">
        <f t="shared" si="2"/>
        <v>2015</v>
      </c>
      <c r="C74" s="19" t="str">
        <f t="shared" si="3"/>
        <v>Q1</v>
      </c>
      <c r="D74" s="19">
        <v>73.2</v>
      </c>
      <c r="E74" s="2">
        <v>73.599999999999994</v>
      </c>
      <c r="F74" s="19">
        <v>70.599999999999994</v>
      </c>
      <c r="G74" s="19">
        <v>79.2</v>
      </c>
      <c r="H74" s="24">
        <v>59.9</v>
      </c>
    </row>
    <row r="75" spans="1:8" x14ac:dyDescent="0.3">
      <c r="A75" s="7" t="s">
        <v>81</v>
      </c>
      <c r="B75" s="19">
        <f t="shared" si="2"/>
        <v>2015</v>
      </c>
      <c r="C75" s="19" t="str">
        <f t="shared" si="3"/>
        <v>Q2</v>
      </c>
      <c r="D75" s="19">
        <v>73.2</v>
      </c>
      <c r="E75" s="2">
        <v>73.400000000000006</v>
      </c>
      <c r="F75" s="19">
        <v>71.8</v>
      </c>
      <c r="G75" s="19">
        <v>79.400000000000006</v>
      </c>
      <c r="H75" s="24">
        <v>61.9</v>
      </c>
    </row>
    <row r="76" spans="1:8" x14ac:dyDescent="0.3">
      <c r="A76" s="7" t="s">
        <v>82</v>
      </c>
      <c r="B76" s="19">
        <f t="shared" si="2"/>
        <v>2015</v>
      </c>
      <c r="C76" s="19" t="str">
        <f t="shared" si="3"/>
        <v>Q3</v>
      </c>
      <c r="D76" s="19">
        <v>74</v>
      </c>
      <c r="E76" s="2">
        <v>74.2</v>
      </c>
      <c r="F76" s="19">
        <v>72.8</v>
      </c>
      <c r="G76" s="19">
        <v>79.7</v>
      </c>
      <c r="H76" s="24">
        <v>63.6</v>
      </c>
    </row>
    <row r="77" spans="1:8" x14ac:dyDescent="0.3">
      <c r="A77" s="7" t="s">
        <v>83</v>
      </c>
      <c r="B77" s="19">
        <f t="shared" si="2"/>
        <v>2015</v>
      </c>
      <c r="C77" s="19" t="str">
        <f t="shared" si="3"/>
        <v>Q4</v>
      </c>
      <c r="D77" s="19">
        <v>74.3</v>
      </c>
      <c r="E77" s="2">
        <v>74.599999999999994</v>
      </c>
      <c r="F77" s="19">
        <v>72.099999999999994</v>
      </c>
      <c r="G77" s="19">
        <v>79.099999999999994</v>
      </c>
      <c r="H77" s="24">
        <v>62.6</v>
      </c>
    </row>
    <row r="78" spans="1:8" x14ac:dyDescent="0.3">
      <c r="A78" s="7" t="s">
        <v>84</v>
      </c>
      <c r="B78" s="19">
        <f t="shared" si="2"/>
        <v>2016</v>
      </c>
      <c r="C78" s="19" t="str">
        <f t="shared" si="3"/>
        <v>Q1</v>
      </c>
      <c r="D78" s="19">
        <v>74</v>
      </c>
      <c r="E78" s="2">
        <v>74.3</v>
      </c>
      <c r="F78" s="19">
        <v>71.3</v>
      </c>
      <c r="G78" s="19">
        <v>78</v>
      </c>
      <c r="H78" s="24">
        <v>61.6</v>
      </c>
    </row>
    <row r="79" spans="1:8" x14ac:dyDescent="0.3">
      <c r="A79" s="7" t="s">
        <v>85</v>
      </c>
      <c r="B79" s="19">
        <f t="shared" si="2"/>
        <v>2016</v>
      </c>
      <c r="C79" s="19" t="str">
        <f t="shared" si="3"/>
        <v>Q2</v>
      </c>
      <c r="D79" s="19">
        <v>74.2</v>
      </c>
      <c r="E79" s="2">
        <v>74.599999999999994</v>
      </c>
      <c r="F79" s="19">
        <v>72.3</v>
      </c>
      <c r="G79" s="19">
        <v>78.400000000000006</v>
      </c>
      <c r="H79" s="24">
        <v>63.1</v>
      </c>
    </row>
    <row r="80" spans="1:8" x14ac:dyDescent="0.3">
      <c r="A80" s="7" t="s">
        <v>86</v>
      </c>
      <c r="B80" s="19">
        <f t="shared" si="2"/>
        <v>2016</v>
      </c>
      <c r="C80" s="19" t="str">
        <f t="shared" si="3"/>
        <v>Q3</v>
      </c>
      <c r="D80" s="19">
        <v>74.599999999999994</v>
      </c>
      <c r="E80" s="2">
        <v>74.900000000000006</v>
      </c>
      <c r="F80" s="19">
        <v>72.7</v>
      </c>
      <c r="G80" s="19">
        <v>80.3</v>
      </c>
      <c r="H80" s="24">
        <v>61.9</v>
      </c>
    </row>
    <row r="81" spans="1:8" x14ac:dyDescent="0.3">
      <c r="A81" s="7" t="s">
        <v>87</v>
      </c>
      <c r="B81" s="19">
        <f t="shared" si="2"/>
        <v>2016</v>
      </c>
      <c r="C81" s="19" t="str">
        <f t="shared" si="3"/>
        <v>Q4</v>
      </c>
      <c r="D81" s="19">
        <v>74.7</v>
      </c>
      <c r="E81" s="2">
        <v>75</v>
      </c>
      <c r="F81" s="19">
        <v>73.099999999999994</v>
      </c>
      <c r="G81" s="19">
        <v>80.599999999999994</v>
      </c>
      <c r="H81" s="24">
        <v>62.4</v>
      </c>
    </row>
    <row r="82" spans="1:8" x14ac:dyDescent="0.3">
      <c r="A82" s="7" t="s">
        <v>88</v>
      </c>
      <c r="B82" s="19">
        <f t="shared" si="2"/>
        <v>2017</v>
      </c>
      <c r="C82" s="19" t="str">
        <f t="shared" si="3"/>
        <v>Q1</v>
      </c>
      <c r="D82" s="19">
        <v>74.599999999999994</v>
      </c>
      <c r="E82" s="2">
        <v>75.099999999999994</v>
      </c>
      <c r="F82" s="19">
        <v>71.599999999999994</v>
      </c>
      <c r="G82" s="19">
        <v>79.7</v>
      </c>
      <c r="H82" s="24">
        <v>60</v>
      </c>
    </row>
    <row r="83" spans="1:8" x14ac:dyDescent="0.3">
      <c r="A83" s="7" t="s">
        <v>89</v>
      </c>
      <c r="B83" s="19">
        <f t="shared" si="2"/>
        <v>2017</v>
      </c>
      <c r="C83" s="19" t="str">
        <f t="shared" si="3"/>
        <v>Q2</v>
      </c>
      <c r="D83" s="19">
        <v>74.900000000000006</v>
      </c>
      <c r="E83" s="2">
        <v>75.2</v>
      </c>
      <c r="F83" s="19">
        <v>72.8</v>
      </c>
      <c r="G83" s="19">
        <v>80.8</v>
      </c>
      <c r="H83" s="24">
        <v>60.9</v>
      </c>
    </row>
    <row r="84" spans="1:8" x14ac:dyDescent="0.3">
      <c r="A84" s="7" t="s">
        <v>90</v>
      </c>
      <c r="B84" s="19">
        <f t="shared" si="2"/>
        <v>2017</v>
      </c>
      <c r="C84" s="19" t="str">
        <f t="shared" si="3"/>
        <v>Q3</v>
      </c>
      <c r="D84" s="19">
        <v>75.2</v>
      </c>
      <c r="E84" s="2">
        <v>75.3</v>
      </c>
      <c r="F84" s="19">
        <v>74.400000000000006</v>
      </c>
      <c r="G84" s="19">
        <v>81.5</v>
      </c>
      <c r="H84" s="24">
        <v>63.5</v>
      </c>
    </row>
    <row r="85" spans="1:8" x14ac:dyDescent="0.3">
      <c r="A85" s="7" t="s">
        <v>91</v>
      </c>
      <c r="B85" s="19">
        <f t="shared" si="2"/>
        <v>2017</v>
      </c>
      <c r="C85" s="19" t="str">
        <f t="shared" si="3"/>
        <v>Q4</v>
      </c>
      <c r="D85" s="19">
        <v>75.3</v>
      </c>
      <c r="E85" s="2">
        <v>75.5</v>
      </c>
      <c r="F85" s="19">
        <v>74.2</v>
      </c>
      <c r="G85" s="19">
        <v>81.099999999999994</v>
      </c>
      <c r="H85" s="24">
        <v>63.3</v>
      </c>
    </row>
    <row r="86" spans="1:8" x14ac:dyDescent="0.3">
      <c r="A86" s="7" t="s">
        <v>92</v>
      </c>
      <c r="B86" s="19">
        <f t="shared" si="2"/>
        <v>2018</v>
      </c>
      <c r="C86" s="19" t="str">
        <f t="shared" si="3"/>
        <v>Q1</v>
      </c>
      <c r="D86" s="19">
        <v>75.400000000000006</v>
      </c>
      <c r="E86" s="2">
        <v>75.599999999999994</v>
      </c>
      <c r="F86" s="19">
        <v>74.099999999999994</v>
      </c>
      <c r="G86" s="19">
        <v>81.900000000000006</v>
      </c>
      <c r="H86" s="24">
        <v>62.9</v>
      </c>
    </row>
    <row r="87" spans="1:8" x14ac:dyDescent="0.3">
      <c r="A87" s="7" t="s">
        <v>93</v>
      </c>
      <c r="B87" s="19">
        <f t="shared" si="2"/>
        <v>2018</v>
      </c>
      <c r="C87" s="19" t="str">
        <f t="shared" si="3"/>
        <v>Q2</v>
      </c>
      <c r="D87" s="19">
        <v>75.400000000000006</v>
      </c>
      <c r="E87" s="2">
        <v>75.5</v>
      </c>
      <c r="F87" s="19">
        <v>74.5</v>
      </c>
      <c r="G87" s="19">
        <v>83</v>
      </c>
      <c r="H87" s="24">
        <v>62.8</v>
      </c>
    </row>
    <row r="88" spans="1:8" x14ac:dyDescent="0.3">
      <c r="A88" s="7" t="s">
        <v>94</v>
      </c>
      <c r="B88" s="19">
        <f t="shared" si="2"/>
        <v>2018</v>
      </c>
      <c r="C88" s="19" t="str">
        <f t="shared" si="3"/>
        <v>Q3</v>
      </c>
      <c r="D88" s="19">
        <v>75.7</v>
      </c>
      <c r="E88" s="2">
        <v>75.8</v>
      </c>
      <c r="F88" s="19">
        <v>75</v>
      </c>
      <c r="G88" s="19">
        <v>82.8</v>
      </c>
      <c r="H88" s="24">
        <v>64.099999999999994</v>
      </c>
    </row>
    <row r="89" spans="1:8" x14ac:dyDescent="0.3">
      <c r="A89" s="7" t="s">
        <v>95</v>
      </c>
      <c r="B89" s="19">
        <f t="shared" si="2"/>
        <v>2018</v>
      </c>
      <c r="C89" s="19" t="str">
        <f t="shared" si="3"/>
        <v>Q4</v>
      </c>
      <c r="D89" s="19">
        <v>76</v>
      </c>
      <c r="E89" s="2">
        <v>76</v>
      </c>
      <c r="F89" s="19">
        <v>75.8</v>
      </c>
      <c r="G89" s="19">
        <v>83.3</v>
      </c>
      <c r="H89" s="24">
        <v>65.599999999999994</v>
      </c>
    </row>
    <row r="90" spans="1:8" x14ac:dyDescent="0.3">
      <c r="A90" s="8" t="s">
        <v>96</v>
      </c>
      <c r="B90" s="19">
        <f t="shared" si="2"/>
        <v>2019</v>
      </c>
      <c r="C90" s="19" t="str">
        <f t="shared" si="3"/>
        <v>Q1</v>
      </c>
      <c r="D90" s="28">
        <v>75.900000000000006</v>
      </c>
      <c r="E90" s="30">
        <v>76</v>
      </c>
      <c r="F90" s="28">
        <v>75.2</v>
      </c>
      <c r="G90" s="28">
        <v>82.7</v>
      </c>
      <c r="H90" s="32">
        <v>64.5</v>
      </c>
    </row>
    <row r="91" spans="1:8" x14ac:dyDescent="0.3">
      <c r="A91" s="7" t="s">
        <v>97</v>
      </c>
      <c r="B91" s="19">
        <f t="shared" si="2"/>
        <v>2019</v>
      </c>
      <c r="C91" s="19" t="str">
        <f t="shared" si="3"/>
        <v>Q2</v>
      </c>
      <c r="D91" s="19">
        <v>75.900000000000006</v>
      </c>
      <c r="E91" s="2">
        <v>76.099999999999994</v>
      </c>
      <c r="F91" s="19">
        <v>74.8</v>
      </c>
      <c r="G91" s="19">
        <v>83.2</v>
      </c>
      <c r="H91" s="24">
        <v>63.2</v>
      </c>
    </row>
    <row r="92" spans="1:8" x14ac:dyDescent="0.3">
      <c r="A92" s="7" t="s">
        <v>98</v>
      </c>
      <c r="B92" s="19">
        <f t="shared" si="2"/>
        <v>2019</v>
      </c>
      <c r="C92" s="19" t="str">
        <f t="shared" si="3"/>
        <v>Q3</v>
      </c>
      <c r="D92" s="19">
        <v>76.099999999999994</v>
      </c>
      <c r="E92" s="2">
        <v>76.099999999999994</v>
      </c>
      <c r="F92" s="19">
        <v>76</v>
      </c>
      <c r="G92" s="19">
        <v>82.6</v>
      </c>
      <c r="H92" s="24">
        <v>67.099999999999994</v>
      </c>
    </row>
    <row r="93" spans="1:8" x14ac:dyDescent="0.3">
      <c r="A93" s="7" t="s">
        <v>99</v>
      </c>
      <c r="B93" s="19">
        <f t="shared" si="2"/>
        <v>2019</v>
      </c>
      <c r="C93" s="19" t="str">
        <f t="shared" si="3"/>
        <v>Q4</v>
      </c>
      <c r="D93" s="19">
        <v>76.5</v>
      </c>
      <c r="E93" s="2">
        <v>76.599999999999994</v>
      </c>
      <c r="F93" s="19">
        <v>75.8</v>
      </c>
      <c r="G93" s="19">
        <v>82.2</v>
      </c>
      <c r="H93" s="24">
        <v>66.7</v>
      </c>
    </row>
    <row r="94" spans="1:8" x14ac:dyDescent="0.3">
      <c r="A94" s="7" t="s">
        <v>100</v>
      </c>
      <c r="B94" s="19">
        <f t="shared" si="2"/>
        <v>2020</v>
      </c>
      <c r="C94" s="19" t="str">
        <f t="shared" si="3"/>
        <v>Q1</v>
      </c>
      <c r="D94" s="19">
        <v>75.900000000000006</v>
      </c>
      <c r="E94" s="2">
        <v>76</v>
      </c>
      <c r="F94" s="19">
        <v>76</v>
      </c>
      <c r="G94" s="19">
        <v>82.4</v>
      </c>
      <c r="H94" s="24">
        <v>67</v>
      </c>
    </row>
    <row r="95" spans="1:8" x14ac:dyDescent="0.3">
      <c r="A95" s="7" t="s">
        <v>101</v>
      </c>
      <c r="B95" s="19">
        <f t="shared" si="2"/>
        <v>2020</v>
      </c>
      <c r="C95" s="19" t="str">
        <f t="shared" si="3"/>
        <v>Q2</v>
      </c>
      <c r="D95" s="19">
        <v>75.2</v>
      </c>
      <c r="E95" s="2">
        <v>75.2</v>
      </c>
      <c r="F95" s="19">
        <v>75.400000000000006</v>
      </c>
      <c r="G95" s="19">
        <v>81.5</v>
      </c>
      <c r="H95" s="24">
        <v>67</v>
      </c>
    </row>
    <row r="96" spans="1:8" x14ac:dyDescent="0.3">
      <c r="A96" s="7" t="s">
        <v>102</v>
      </c>
      <c r="B96" s="19">
        <f t="shared" si="2"/>
        <v>2020</v>
      </c>
      <c r="C96" s="19" t="str">
        <f t="shared" si="3"/>
        <v>Q3</v>
      </c>
      <c r="D96" s="19">
        <v>74.7</v>
      </c>
      <c r="E96" s="2">
        <v>74.599999999999994</v>
      </c>
      <c r="F96" s="19">
        <v>75.400000000000006</v>
      </c>
      <c r="G96" s="19">
        <v>80.900000000000006</v>
      </c>
      <c r="H96" s="24">
        <v>68.5</v>
      </c>
    </row>
    <row r="97" spans="1:8" x14ac:dyDescent="0.3">
      <c r="A97" s="7" t="s">
        <v>103</v>
      </c>
      <c r="B97" s="19">
        <f t="shared" si="2"/>
        <v>2020</v>
      </c>
      <c r="C97" s="19" t="str">
        <f t="shared" si="3"/>
        <v>Q4</v>
      </c>
      <c r="D97" s="19">
        <v>74.5</v>
      </c>
      <c r="E97" s="2">
        <v>74.5</v>
      </c>
      <c r="F97" s="19">
        <v>74.7</v>
      </c>
      <c r="G97" s="19">
        <v>79.5</v>
      </c>
      <c r="H97" s="24">
        <v>68.599999999999994</v>
      </c>
    </row>
    <row r="98" spans="1:8" x14ac:dyDescent="0.3">
      <c r="A98" s="7" t="s">
        <v>104</v>
      </c>
      <c r="B98" s="19">
        <f t="shared" si="2"/>
        <v>2021</v>
      </c>
      <c r="C98" s="19" t="str">
        <f t="shared" si="3"/>
        <v>Q1</v>
      </c>
      <c r="D98" s="19">
        <v>74.400000000000006</v>
      </c>
      <c r="E98" s="2">
        <v>74.400000000000006</v>
      </c>
      <c r="F98" s="19">
        <v>74.8</v>
      </c>
      <c r="G98" s="19">
        <v>79</v>
      </c>
      <c r="H98" s="24">
        <v>69.599999999999994</v>
      </c>
    </row>
    <row r="99" spans="1:8" x14ac:dyDescent="0.3">
      <c r="A99" s="7" t="s">
        <v>105</v>
      </c>
      <c r="B99" s="19">
        <f t="shared" si="2"/>
        <v>2021</v>
      </c>
      <c r="C99" s="19" t="str">
        <f t="shared" si="3"/>
        <v>Q2</v>
      </c>
      <c r="D99" s="19">
        <v>74.5</v>
      </c>
      <c r="E99" s="2">
        <v>74.599999999999994</v>
      </c>
      <c r="F99" s="19">
        <v>74.400000000000006</v>
      </c>
      <c r="G99" s="19">
        <v>80.2</v>
      </c>
      <c r="H99" s="24">
        <v>67.7</v>
      </c>
    </row>
    <row r="100" spans="1:8" x14ac:dyDescent="0.3">
      <c r="A100" s="7" t="s">
        <v>106</v>
      </c>
      <c r="B100" s="19">
        <f t="shared" si="2"/>
        <v>2021</v>
      </c>
      <c r="C100" s="19" t="str">
        <f t="shared" si="3"/>
        <v>Q3</v>
      </c>
      <c r="D100" s="19">
        <v>75.099999999999994</v>
      </c>
      <c r="E100" s="2">
        <v>75.099999999999994</v>
      </c>
      <c r="F100" s="19">
        <v>75.599999999999994</v>
      </c>
      <c r="G100" s="19">
        <v>81.599999999999994</v>
      </c>
      <c r="H100" s="24">
        <v>68.900000000000006</v>
      </c>
    </row>
    <row r="101" spans="1:8" x14ac:dyDescent="0.3">
      <c r="A101" s="7" t="s">
        <v>107</v>
      </c>
      <c r="B101" s="19">
        <f t="shared" si="2"/>
        <v>2021</v>
      </c>
      <c r="C101" s="19" t="str">
        <f t="shared" si="3"/>
        <v>Q4</v>
      </c>
      <c r="D101" s="19">
        <v>75.2</v>
      </c>
      <c r="E101" s="2">
        <v>75.2</v>
      </c>
      <c r="F101" s="19">
        <v>75.3</v>
      </c>
      <c r="G101" s="19">
        <v>82.9</v>
      </c>
      <c r="H101" s="24">
        <v>67.3</v>
      </c>
    </row>
    <row r="102" spans="1:8" x14ac:dyDescent="0.3">
      <c r="A102" s="7" t="s">
        <v>108</v>
      </c>
      <c r="B102" s="19">
        <f t="shared" si="2"/>
        <v>2022</v>
      </c>
      <c r="C102" s="19" t="str">
        <f t="shared" si="3"/>
        <v>Q1</v>
      </c>
      <c r="D102" s="19">
        <v>75.099999999999994</v>
      </c>
      <c r="E102" s="2">
        <v>75.2</v>
      </c>
      <c r="F102" s="19">
        <v>74.8</v>
      </c>
      <c r="G102" s="19">
        <v>82.4</v>
      </c>
      <c r="H102" s="24">
        <v>67.099999999999994</v>
      </c>
    </row>
    <row r="103" spans="1:8" x14ac:dyDescent="0.3">
      <c r="A103" s="7" t="s">
        <v>109</v>
      </c>
      <c r="B103" s="19">
        <f t="shared" si="2"/>
        <v>2022</v>
      </c>
      <c r="C103" s="19" t="str">
        <f t="shared" si="3"/>
        <v>Q2</v>
      </c>
      <c r="D103" s="19">
        <v>74.900000000000006</v>
      </c>
      <c r="E103" s="2">
        <v>74.900000000000006</v>
      </c>
      <c r="F103" s="19">
        <v>74.5</v>
      </c>
      <c r="G103" s="19">
        <v>81.2</v>
      </c>
      <c r="H103" s="24">
        <v>68.2</v>
      </c>
    </row>
    <row r="104" spans="1:8" x14ac:dyDescent="0.3">
      <c r="A104" s="7" t="s">
        <v>110</v>
      </c>
      <c r="B104" s="19">
        <f t="shared" si="2"/>
        <v>2022</v>
      </c>
      <c r="C104" s="19" t="str">
        <f t="shared" si="3"/>
        <v>Q3</v>
      </c>
      <c r="D104" s="19">
        <v>75</v>
      </c>
      <c r="E104" s="2">
        <v>75.099999999999994</v>
      </c>
      <c r="F104" s="19">
        <v>74.400000000000006</v>
      </c>
      <c r="G104" s="19">
        <v>80.400000000000006</v>
      </c>
      <c r="H104" s="24">
        <v>69</v>
      </c>
    </row>
    <row r="105" spans="1:8" x14ac:dyDescent="0.3">
      <c r="A105" s="7" t="s">
        <v>111</v>
      </c>
      <c r="B105" s="19">
        <f t="shared" si="2"/>
        <v>2022</v>
      </c>
      <c r="C105" s="19" t="str">
        <f t="shared" si="3"/>
        <v>Q4</v>
      </c>
      <c r="D105" s="19">
        <v>75.3</v>
      </c>
      <c r="E105" s="2">
        <v>75.400000000000006</v>
      </c>
      <c r="F105" s="19">
        <v>74.5</v>
      </c>
      <c r="G105" s="19">
        <v>80.7</v>
      </c>
      <c r="H105" s="24">
        <v>68.900000000000006</v>
      </c>
    </row>
    <row r="106" spans="1:8" x14ac:dyDescent="0.3">
      <c r="A106" s="7" t="s">
        <v>112</v>
      </c>
      <c r="B106" s="19">
        <f t="shared" si="2"/>
        <v>2023</v>
      </c>
      <c r="C106" s="19" t="str">
        <f t="shared" si="3"/>
        <v>Q1</v>
      </c>
      <c r="D106" s="19">
        <v>75.3</v>
      </c>
      <c r="E106" s="2">
        <v>75.3</v>
      </c>
      <c r="F106" s="19">
        <v>75.2</v>
      </c>
      <c r="G106" s="19">
        <v>82</v>
      </c>
      <c r="H106" s="24">
        <v>69.2</v>
      </c>
    </row>
    <row r="107" spans="1:8" x14ac:dyDescent="0.3">
      <c r="A107" s="7" t="s">
        <v>113</v>
      </c>
      <c r="B107" s="19">
        <f t="shared" si="2"/>
        <v>2023</v>
      </c>
      <c r="C107" s="19" t="str">
        <f t="shared" si="3"/>
        <v>Q2</v>
      </c>
      <c r="D107" s="19">
        <v>75</v>
      </c>
      <c r="E107" s="2">
        <v>75</v>
      </c>
      <c r="F107" s="19">
        <v>75.2</v>
      </c>
      <c r="G107" s="19">
        <v>82.1</v>
      </c>
      <c r="H107" s="24">
        <v>69.400000000000006</v>
      </c>
    </row>
    <row r="108" spans="1:8" x14ac:dyDescent="0.3">
      <c r="A108" s="7" t="s">
        <v>114</v>
      </c>
      <c r="B108" s="19">
        <f t="shared" si="2"/>
        <v>2023</v>
      </c>
      <c r="C108" s="19" t="str">
        <f t="shared" si="3"/>
        <v>Q3</v>
      </c>
      <c r="D108" s="19">
        <v>74.900000000000006</v>
      </c>
      <c r="E108" s="2">
        <v>75</v>
      </c>
      <c r="F108" s="19">
        <v>75</v>
      </c>
      <c r="G108" s="19">
        <v>80.400000000000006</v>
      </c>
      <c r="H108" s="24">
        <v>70.099999999999994</v>
      </c>
    </row>
    <row r="109" spans="1:8" x14ac:dyDescent="0.3">
      <c r="A109" s="7" t="s">
        <v>115</v>
      </c>
      <c r="B109" s="19">
        <f t="shared" si="2"/>
        <v>2023</v>
      </c>
      <c r="C109" s="19" t="str">
        <f t="shared" si="3"/>
        <v>Q4</v>
      </c>
      <c r="D109" s="19">
        <v>75</v>
      </c>
      <c r="E109" s="2">
        <v>74.8</v>
      </c>
      <c r="F109" s="19">
        <v>76</v>
      </c>
      <c r="G109" s="19">
        <v>82</v>
      </c>
      <c r="H109" s="24">
        <v>71</v>
      </c>
    </row>
    <row r="110" spans="1:8" x14ac:dyDescent="0.3">
      <c r="A110" s="7" t="s">
        <v>116</v>
      </c>
      <c r="B110" s="19">
        <f t="shared" si="2"/>
        <v>2024</v>
      </c>
      <c r="C110" s="19" t="str">
        <f t="shared" si="3"/>
        <v>Q1</v>
      </c>
      <c r="D110" s="19">
        <v>74.5</v>
      </c>
      <c r="E110" s="2">
        <v>74.5</v>
      </c>
      <c r="F110" s="19">
        <v>74.599999999999994</v>
      </c>
      <c r="G110" s="19">
        <v>80.7</v>
      </c>
      <c r="H110" s="24">
        <v>69.900000000000006</v>
      </c>
    </row>
    <row r="111" spans="1:8" x14ac:dyDescent="0.3">
      <c r="A111" s="7" t="s">
        <v>117</v>
      </c>
      <c r="B111" s="19">
        <f t="shared" si="2"/>
        <v>2024</v>
      </c>
      <c r="C111" s="19" t="str">
        <f t="shared" si="3"/>
        <v>Q2</v>
      </c>
      <c r="D111" s="19">
        <v>74.400000000000006</v>
      </c>
      <c r="E111" s="2">
        <v>74.5</v>
      </c>
      <c r="F111" s="19">
        <v>73.900000000000006</v>
      </c>
      <c r="G111" s="19">
        <v>79.2</v>
      </c>
      <c r="H111" s="24">
        <v>69.8</v>
      </c>
    </row>
    <row r="112" spans="1:8" x14ac:dyDescent="0.3">
      <c r="A112" s="7" t="s">
        <v>118</v>
      </c>
      <c r="B112" s="19">
        <f t="shared" si="2"/>
        <v>2024</v>
      </c>
      <c r="C112" s="19" t="str">
        <f t="shared" si="3"/>
        <v>Q3</v>
      </c>
      <c r="D112" s="19">
        <v>75</v>
      </c>
      <c r="E112" s="2">
        <v>74.8</v>
      </c>
      <c r="F112" s="19">
        <v>76.3</v>
      </c>
      <c r="G112" s="19">
        <v>80.5</v>
      </c>
      <c r="H112" s="24">
        <v>73.2</v>
      </c>
    </row>
    <row r="113" spans="1:8" x14ac:dyDescent="0.3">
      <c r="A113" s="7" t="s">
        <v>119</v>
      </c>
      <c r="B113" s="19">
        <f t="shared" si="2"/>
        <v>2024</v>
      </c>
      <c r="C113" s="19" t="str">
        <f t="shared" si="3"/>
        <v>Q4</v>
      </c>
      <c r="D113" s="19">
        <v>75.099999999999994</v>
      </c>
      <c r="E113" s="2">
        <v>74.900000000000006</v>
      </c>
      <c r="F113" s="19">
        <v>76.8</v>
      </c>
      <c r="G113" s="19">
        <v>80.8</v>
      </c>
      <c r="H113" s="24">
        <v>73.8</v>
      </c>
    </row>
    <row r="114" spans="1:8" x14ac:dyDescent="0.3">
      <c r="A114" s="7" t="s">
        <v>120</v>
      </c>
      <c r="B114" s="19">
        <f t="shared" si="2"/>
        <v>2025</v>
      </c>
      <c r="C114" s="19" t="str">
        <f t="shared" si="3"/>
        <v>Q1</v>
      </c>
      <c r="D114" s="19">
        <v>75</v>
      </c>
      <c r="E114" s="2">
        <v>74.900000000000006</v>
      </c>
      <c r="F114" s="19">
        <v>76</v>
      </c>
      <c r="G114" s="19">
        <v>81.400000000000006</v>
      </c>
      <c r="H114" s="24">
        <v>72</v>
      </c>
    </row>
    <row r="115" spans="1:8" x14ac:dyDescent="0.3">
      <c r="A115" s="7" t="s">
        <v>121</v>
      </c>
      <c r="B115" s="19">
        <f t="shared" si="2"/>
        <v>2025</v>
      </c>
      <c r="C115" s="19" t="str">
        <f t="shared" si="3"/>
        <v>Q2</v>
      </c>
      <c r="D115" s="19">
        <v>75.099999999999994</v>
      </c>
      <c r="E115" s="2">
        <v>75</v>
      </c>
      <c r="F115" s="19">
        <v>76.599999999999994</v>
      </c>
      <c r="G115" s="19">
        <v>80</v>
      </c>
      <c r="H115" s="24">
        <v>74.2</v>
      </c>
    </row>
    <row r="116" spans="1:8" x14ac:dyDescent="0.3">
      <c r="A116" s="7" t="s">
        <v>122</v>
      </c>
      <c r="B116" s="19">
        <f t="shared" si="2"/>
        <v>2025</v>
      </c>
      <c r="C116" s="19" t="str">
        <f t="shared" si="3"/>
        <v>Q3</v>
      </c>
      <c r="D116" s="19">
        <v>75.099999999999994</v>
      </c>
      <c r="E116" s="2">
        <v>74.900000000000006</v>
      </c>
      <c r="F116" s="19">
        <v>76</v>
      </c>
      <c r="G116" s="19">
        <v>80.099999999999994</v>
      </c>
      <c r="H116" s="24">
        <v>73.2</v>
      </c>
    </row>
    <row r="117" spans="1:8" x14ac:dyDescent="0.3">
      <c r="A117" s="7" t="s">
        <v>123</v>
      </c>
      <c r="B117" s="19">
        <f t="shared" si="2"/>
        <v>2025</v>
      </c>
      <c r="C117" s="19" t="str">
        <f t="shared" si="3"/>
        <v>Q4</v>
      </c>
      <c r="D117" s="19">
        <v>75.099999999999994</v>
      </c>
      <c r="E117" s="2">
        <v>75</v>
      </c>
      <c r="F117" s="19">
        <v>75.900000000000006</v>
      </c>
      <c r="G117" s="19">
        <v>79.7</v>
      </c>
      <c r="H117" s="24">
        <v>73.099999999999994</v>
      </c>
    </row>
    <row r="118" spans="1:8" x14ac:dyDescent="0.3">
      <c r="A118" s="14" t="s">
        <v>124</v>
      </c>
      <c r="B118" s="19">
        <f t="shared" si="2"/>
        <v>2026</v>
      </c>
      <c r="C118" s="19" t="str">
        <f t="shared" si="3"/>
        <v>Q1</v>
      </c>
      <c r="D118" s="21">
        <v>74.900000000000006</v>
      </c>
      <c r="E118" s="22">
        <v>74.8</v>
      </c>
      <c r="F118" s="21">
        <v>75.8</v>
      </c>
      <c r="G118" s="21">
        <v>78.7</v>
      </c>
      <c r="H118" s="36">
        <v>73.599999999999994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65f86b-1195-4537-b6b6-af85c6cdc36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FC99FB2FF574EBF7D30BB6AED7CF0" ma:contentTypeVersion="5" ma:contentTypeDescription="Create a new document." ma:contentTypeScope="" ma:versionID="3a1abe1ee4bbbd5e43e1945a7cf95adf">
  <xsd:schema xmlns:xsd="http://www.w3.org/2001/XMLSchema" xmlns:xs="http://www.w3.org/2001/XMLSchema" xmlns:p="http://schemas.microsoft.com/office/2006/metadata/properties" xmlns:ns3="7065f86b-1195-4537-b6b6-af85c6cdc366" targetNamespace="http://schemas.microsoft.com/office/2006/metadata/properties" ma:root="true" ma:fieldsID="5e92cebfd83d28536732771cc65b19fc" ns3:_="">
    <xsd:import namespace="7065f86b-1195-4537-b6b6-af85c6cdc3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5f86b-1195-4537-b6b6-af85c6cdc3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42B687-BEBE-406A-99F8-20BF8A2D6D58}">
  <ds:schemaRefs>
    <ds:schemaRef ds:uri="http://schemas.microsoft.com/office/2006/metadata/properties"/>
    <ds:schemaRef ds:uri="http://schemas.microsoft.com/office/infopath/2007/PartnerControls"/>
    <ds:schemaRef ds:uri="7065f86b-1195-4537-b6b6-af85c6cdc366"/>
  </ds:schemaRefs>
</ds:datastoreItem>
</file>

<file path=customXml/itemProps2.xml><?xml version="1.0" encoding="utf-8"?>
<ds:datastoreItem xmlns:ds="http://schemas.openxmlformats.org/officeDocument/2006/customXml" ds:itemID="{DA2ABB6E-AEB2-4A4D-9DE0-D6E33720564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7BC91BD-0CBD-4534-8D78-C3A06C982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5f86b-1195-4537-b6b6-af85c6cdc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BE065D4-8D46-4A21-A21C-CF218C792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Gitu Etorti</dc:creator>
  <cp:keywords/>
  <dc:description/>
  <cp:lastModifiedBy>Gitu Etorti</cp:lastModifiedBy>
  <cp:revision/>
  <dcterms:created xsi:type="dcterms:W3CDTF">2026-07-04T10:37:01Z</dcterms:created>
  <dcterms:modified xsi:type="dcterms:W3CDTF">2026-07-20T14:25:15Z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0x010100D00FC99FB2FF574EBF7D30BB6AED7CF0</vt:lpwstr>
  </property>
</Properties>
</file>