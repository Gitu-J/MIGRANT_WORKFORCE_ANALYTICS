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tuj\Desktop\"/>
    </mc:Choice>
  </mc:AlternateContent>
  <xr:revisionPtr revIDLastSave="0" documentId="8_{73E665BD-EB0E-4107-9456-BA3D4606130A}" xr6:coauthVersionLast="47" xr6:coauthVersionMax="47" xr10:uidLastSave="{00000000-0000-0000-0000-000000000000}"/>
  <bookViews>
    <workbookView xWindow="-108" yWindow="-108" windowWidth="23256" windowHeight="12456" xr2:uid="{34315572-63A2-4549-AB35-D824492D2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8" i="1" l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<sst xmlns="http://schemas.openxmlformats.org/spreadsheetml/2006/main" count="130" uniqueCount="130">
  <si>
    <t>Quarter</t>
  </si>
  <si>
    <t>Year</t>
  </si>
  <si>
    <t>Quarter_No</t>
  </si>
  <si>
    <t>Tot_Emp</t>
  </si>
  <si>
    <t>Jan-Mar 1997</t>
  </si>
  <si>
    <t>Apr-Jun 1997</t>
  </si>
  <si>
    <t>Jul-Sep 1997</t>
  </si>
  <si>
    <t>Oct-Dec 1997</t>
  </si>
  <si>
    <t>Jan-Mar 1998</t>
  </si>
  <si>
    <t>Apr-Jun 1998</t>
  </si>
  <si>
    <t>Jul-Sep 1998</t>
  </si>
  <si>
    <t>Oct-Dec 1998</t>
  </si>
  <si>
    <t>Jan-Mar 1999</t>
  </si>
  <si>
    <t>Apr-Jun 1999</t>
  </si>
  <si>
    <t>Jul-Sep 1999</t>
  </si>
  <si>
    <t>Oct-Dec 1999</t>
  </si>
  <si>
    <t>Jan-Mar 2000</t>
  </si>
  <si>
    <t>Apr-Jun 2000</t>
  </si>
  <si>
    <t>Jul-Sep 2000</t>
  </si>
  <si>
    <t>Oct-Dec 2000</t>
  </si>
  <si>
    <t>Jan-Mar 2001</t>
  </si>
  <si>
    <t>Apr-Jun 2001</t>
  </si>
  <si>
    <t>Jul-Sep 2001</t>
  </si>
  <si>
    <t>Oct-Dec 2001</t>
  </si>
  <si>
    <t>Jan-Mar 2002</t>
  </si>
  <si>
    <t>Apr-Jun 2002</t>
  </si>
  <si>
    <t>Jul-Sep 2002</t>
  </si>
  <si>
    <t>Oct-Dec 2002</t>
  </si>
  <si>
    <t>Jan-Mar 2003</t>
  </si>
  <si>
    <t>Apr-Jun 2003</t>
  </si>
  <si>
    <t>Jul-Sep 2003</t>
  </si>
  <si>
    <t>Oct-Dec 2003</t>
  </si>
  <si>
    <t>Jan-Mar 2004</t>
  </si>
  <si>
    <t>Apr-Jun 2004</t>
  </si>
  <si>
    <t>Jul-Sep 2004</t>
  </si>
  <si>
    <t>Oct-Dec 2004</t>
  </si>
  <si>
    <t>Jan-Mar 2005</t>
  </si>
  <si>
    <t>Apr-Jun 2005</t>
  </si>
  <si>
    <t>Jul-Sep 2005</t>
  </si>
  <si>
    <t>Oct-Dec 2005</t>
  </si>
  <si>
    <t>Jan-Mar 2006</t>
  </si>
  <si>
    <t>Apr-Jun 2006</t>
  </si>
  <si>
    <t>Jul-Sep 2006</t>
  </si>
  <si>
    <t>Oct-Dec 2006</t>
  </si>
  <si>
    <t>Jan-Mar 2007</t>
  </si>
  <si>
    <t>Apr-Jun 2007</t>
  </si>
  <si>
    <t>Jul-Sep 2007</t>
  </si>
  <si>
    <t>Oct-Dec 2007</t>
  </si>
  <si>
    <t>Jan-Mar 2008</t>
  </si>
  <si>
    <t>Apr-Jun 2008</t>
  </si>
  <si>
    <t>Jul-Sep 2008</t>
  </si>
  <si>
    <t>Oct-Dec 2008</t>
  </si>
  <si>
    <t>Jan-Mar 2009</t>
  </si>
  <si>
    <t>Apr-Jun 2009</t>
  </si>
  <si>
    <t>Jul-Sep 2009</t>
  </si>
  <si>
    <t>Oct-Dec 2009</t>
  </si>
  <si>
    <t>Jan-Mar 2010</t>
  </si>
  <si>
    <t>Apr-Jun 2010</t>
  </si>
  <si>
    <t>Jul-Sep 2010</t>
  </si>
  <si>
    <t>Oct-Dec 2010</t>
  </si>
  <si>
    <t>Jan-Mar 2011</t>
  </si>
  <si>
    <t>Apr-Jun 2011</t>
  </si>
  <si>
    <t>Jul-Sep 2011</t>
  </si>
  <si>
    <t>Oct-Dec 2011</t>
  </si>
  <si>
    <t>Jan-Mar 2012</t>
  </si>
  <si>
    <t>Apr-Jun 2012</t>
  </si>
  <si>
    <t>Jul-Sep 2012</t>
  </si>
  <si>
    <t>Oct-Dec 2012</t>
  </si>
  <si>
    <t>Jan-Mar 2013</t>
  </si>
  <si>
    <t>Apr-Jun 2013</t>
  </si>
  <si>
    <t>Jul-Sep 2013</t>
  </si>
  <si>
    <t>Oct-Dec 2013</t>
  </si>
  <si>
    <t>Jan-Mar 2014</t>
  </si>
  <si>
    <t>Apr-Jun 2014</t>
  </si>
  <si>
    <t>Jul-Sep 2014</t>
  </si>
  <si>
    <t>Oct-Dec 2014</t>
  </si>
  <si>
    <t>Jan-Mar 2015</t>
  </si>
  <si>
    <t>Apr-Jun 2015</t>
  </si>
  <si>
    <t>Jul-Sep 2015</t>
  </si>
  <si>
    <t>Oct-Dec 2015</t>
  </si>
  <si>
    <t>Jan-Mar 2016</t>
  </si>
  <si>
    <t>Apr-Jun 2016</t>
  </si>
  <si>
    <t>Jul-Sep 2016</t>
  </si>
  <si>
    <t>Oct-Dec 2016</t>
  </si>
  <si>
    <t>Jan-Mar 2017</t>
  </si>
  <si>
    <t>Apr-Jun 2017</t>
  </si>
  <si>
    <t>Jul-Sep 2017</t>
  </si>
  <si>
    <t>Oct-Dec 2017</t>
  </si>
  <si>
    <t>Jan-Mar 2018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</si>
  <si>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</si>
  <si>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</si>
  <si>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</si>
  <si>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</si>
  <si>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</si>
  <si>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</si>
  <si>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</si>
  <si>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</si>
  <si>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</si>
  <si>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</si>
  <si>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</si>
  <si>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</si>
  <si>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</si>
  <si>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</si>
  <si>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</si>
  <si>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Jan-Mar 2022</t>
  </si>
  <si>
    <t>Apr-Jun 2022</t>
  </si>
  <si>
    <t>Jul-Sep 2022</t>
  </si>
  <si>
    <t>Oct-Dec 2022</t>
  </si>
  <si>
    <t>Jan-Mar 2023</t>
  </si>
  <si>
    <t>Apr-Jun 2023</t>
  </si>
  <si>
    <t>Jul-Sep 2023</t>
  </si>
  <si>
    <t>Oct-Dec 2023</t>
  </si>
  <si>
    <t>Jan-Mar 2024</t>
  </si>
  <si>
    <t>Apr-Jun 2024</t>
  </si>
  <si>
    <t>Jul-Sep 2024</t>
  </si>
  <si>
    <t>Oct-Dec 2024</t>
  </si>
  <si>
    <t>Jan-Mar 2025</t>
  </si>
  <si>
    <t>Apr-Jun 2025</t>
  </si>
  <si>
    <t>Jul-Sep 2025</t>
  </si>
  <si>
    <t>Oct-Dec 2025</t>
  </si>
  <si>
    <t>Jan-Mar 2026</t>
  </si>
  <si>
    <t>Tot_Emp_Rt</t>
  </si>
  <si>
    <t>UK_Emp_Rt</t>
  </si>
  <si>
    <t>NonUK_Emp_Rt</t>
  </si>
  <si>
    <t>EU27_Emp_Rt</t>
  </si>
  <si>
    <t>NonEU_Emp_Rt</t>
  </si>
  <si>
    <t>UK_Born_Emp</t>
  </si>
  <si>
    <t>NonUK_Born_Emp</t>
  </si>
  <si>
    <t>EU27_Emp</t>
  </si>
  <si>
    <t>NonEU_Emp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</si>
</sst>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0" xfId="0" applyFont="1"/>
    <xf numFmtId="3" fontId="1" fillId="0" borderId="0" xfId="0" applyNumberFormat="1" applyFont="1"/>
    <xf numFmtId="3" fontId="1" fillId="0" borderId="5" xfId="0" applyNumberFormat="1" applyFont="1" applyBorder="1"/>
    <xf numFmtId="3" fontId="1" fillId="0" borderId="6" xfId="0" applyNumberFormat="1" applyFont="1" applyBorder="1"/>
    <xf numFmtId="0" fontId="1" fillId="0" borderId="7" xfId="0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3" fontId="1" fillId="0" borderId="10" xfId="0" applyNumberFormat="1" applyFont="1" applyBorder="1"/>
    <xf numFmtId="0" fontId="1" fillId="0" borderId="11" xfId="0" applyFont="1" applyBorder="1"/>
    <xf numFmtId="3" fontId="1" fillId="0" borderId="1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164" fontId="1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175F-C2C4-4AA3-AE59-53B70D066E5D}">
  <dimension ref="A1:M118"/>
  <sheetViews>
    <sheetView tabSelected="1" workbookViewId="0">
      <selection activeCell="I1" sqref="I1"/>
    </sheetView>
  </sheetViews>
  <sheetFormatPr defaultRowHeight="14.4" x14ac:dyDescent="0.3"/>
  <cols>
    <col min="1" max="1" width="14.33203125" customWidth="1"/>
    <col min="3" max="3" width="12.109375" customWidth="1"/>
    <col min="5" max="5" width="12.6640625" customWidth="1"/>
    <col min="6" max="6" width="17" customWidth="1"/>
    <col min="7" max="7" width="10.77734375" customWidth="1"/>
    <col min="8" max="8" width="12" customWidth="1"/>
    <col min="9" max="9" width="11.109375" customWidth="1"/>
    <col min="10" max="10" width="13.6640625" customWidth="1"/>
    <col min="11" max="11" width="14.44140625" customWidth="1"/>
    <col min="12" max="12" width="12.109375" customWidth="1"/>
    <col min="13" max="13" width="13.5546875" customWidth="1"/>
  </cols>
  <sheetData>
    <row r="1" spans="1:13" ht="27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126</v>
      </c>
      <c r="F1" s="1" t="s">
        <v>127</v>
      </c>
      <c r="G1" s="1" t="s">
        <v>128</v>
      </c>
      <c r="H1" s="4" t="s">
        <v>129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</row>
    <row r="2" spans="1:13" x14ac:dyDescent="0.3">
      <c r="A2" s="5" t="s">
        <v>4</v>
      </c>
      <c r="B2" s="6">
        <f>(RIGHT(TRIM(A2),4))*1</f>
        <v>1997</v>
      </c>
      <c r="C2" t="str">
        <f>IF(LEFT(A2,3)="Jan","Q1",IF(LEFT(A2,3)="Apr","Q2",IF(LEFT(A2,3)="Jul","Q3",IF(LEFT(A2,3)="Oct","Q4",""))))</f>
        <v>Q1</v>
      </c>
      <c r="D2" s="7">
        <v>26245</v>
      </c>
      <c r="E2" s="8">
        <v>24323</v>
      </c>
      <c r="F2" s="7">
        <v>1921</v>
      </c>
      <c r="G2" s="6">
        <v>638</v>
      </c>
      <c r="H2" s="9">
        <v>1283</v>
      </c>
      <c r="I2" s="18">
        <v>70.401265478422488</v>
      </c>
      <c r="J2" s="19">
        <v>71.2635374869309</v>
      </c>
      <c r="K2" s="20">
        <v>61.062883753486034</v>
      </c>
      <c r="L2" s="18">
        <v>64.742003616290162</v>
      </c>
      <c r="M2" s="21">
        <v>59.408774131106988</v>
      </c>
    </row>
    <row r="3" spans="1:13" x14ac:dyDescent="0.3">
      <c r="A3" s="5" t="s">
        <v>5</v>
      </c>
      <c r="B3" s="6">
        <f t="shared" ref="B3:B66" si="0">(RIGHT(TRIM(A3),4))*1</f>
        <v>1997</v>
      </c>
      <c r="C3" t="str">
        <f t="shared" ref="C3:C66" si="1">IF(LEFT(A3,3)="Jan","Q1",IF(LEFT(A3,3)="Apr","Q2",IF(LEFT(A3,3)="Jul","Q3",IF(LEFT(A3,3)="Oct","Q4",""))))</f>
        <v>Q2</v>
      </c>
      <c r="D3" s="7">
        <v>26444</v>
      </c>
      <c r="E3" s="8">
        <v>24468</v>
      </c>
      <c r="F3" s="7">
        <v>1975</v>
      </c>
      <c r="G3" s="6">
        <v>652</v>
      </c>
      <c r="H3" s="9">
        <v>1323</v>
      </c>
      <c r="I3" s="18">
        <v>70.825526358526631</v>
      </c>
      <c r="J3" s="19">
        <v>71.666639161833814</v>
      </c>
      <c r="K3" s="20">
        <v>61.859625129979968</v>
      </c>
      <c r="L3" s="18">
        <v>66.614214474509382</v>
      </c>
      <c r="M3" s="21">
        <v>59.776514347994649</v>
      </c>
    </row>
    <row r="4" spans="1:13" x14ac:dyDescent="0.3">
      <c r="A4" s="5" t="s">
        <v>6</v>
      </c>
      <c r="B4" s="6">
        <f t="shared" si="0"/>
        <v>1997</v>
      </c>
      <c r="C4" t="str">
        <f t="shared" si="1"/>
        <v>Q3</v>
      </c>
      <c r="D4" s="7">
        <v>26707</v>
      </c>
      <c r="E4" s="8">
        <v>24715</v>
      </c>
      <c r="F4" s="7">
        <v>1991</v>
      </c>
      <c r="G4" s="6">
        <v>656</v>
      </c>
      <c r="H4" s="9">
        <v>1335</v>
      </c>
      <c r="I4" s="18">
        <v>71.443139388182701</v>
      </c>
      <c r="J4" s="19">
        <v>72.299920179216684</v>
      </c>
      <c r="K4" s="20">
        <v>62.324431739568084</v>
      </c>
      <c r="L4" s="18">
        <v>68.028845389854524</v>
      </c>
      <c r="M4" s="21">
        <v>59.884961810238636</v>
      </c>
    </row>
    <row r="5" spans="1:13" x14ac:dyDescent="0.3">
      <c r="A5" s="5" t="s">
        <v>7</v>
      </c>
      <c r="B5" s="6">
        <f t="shared" si="0"/>
        <v>1997</v>
      </c>
      <c r="C5" t="str">
        <f t="shared" si="1"/>
        <v>Q4</v>
      </c>
      <c r="D5" s="7">
        <v>26695</v>
      </c>
      <c r="E5" s="8">
        <v>24681</v>
      </c>
      <c r="F5" s="7">
        <v>2013</v>
      </c>
      <c r="G5" s="6">
        <v>660</v>
      </c>
      <c r="H5" s="9">
        <v>1353</v>
      </c>
      <c r="I5" s="18">
        <v>71.358963573121343</v>
      </c>
      <c r="J5" s="19">
        <v>72.215711525829434</v>
      </c>
      <c r="K5" s="20">
        <v>62.320049765101061</v>
      </c>
      <c r="L5" s="18">
        <v>66.812424217636078</v>
      </c>
      <c r="M5" s="21">
        <v>60.364692297915724</v>
      </c>
    </row>
    <row r="6" spans="1:13" x14ac:dyDescent="0.3">
      <c r="A6" s="5" t="s">
        <v>8</v>
      </c>
      <c r="B6" s="6">
        <f t="shared" si="0"/>
        <v>1998</v>
      </c>
      <c r="C6" t="str">
        <f t="shared" si="1"/>
        <v>Q1</v>
      </c>
      <c r="D6" s="7">
        <v>26546</v>
      </c>
      <c r="E6" s="8">
        <v>24505</v>
      </c>
      <c r="F6" s="7">
        <v>2041</v>
      </c>
      <c r="G6" s="6">
        <v>680</v>
      </c>
      <c r="H6" s="9">
        <v>1360</v>
      </c>
      <c r="I6" s="18">
        <v>70.933512610125035</v>
      </c>
      <c r="J6" s="19">
        <v>71.758336565916252</v>
      </c>
      <c r="K6" s="20">
        <v>62.370360228190776</v>
      </c>
      <c r="L6" s="18">
        <v>66.424526814352348</v>
      </c>
      <c r="M6" s="21">
        <v>60.545482804749753</v>
      </c>
    </row>
    <row r="7" spans="1:13" x14ac:dyDescent="0.3">
      <c r="A7" s="5" t="s">
        <v>9</v>
      </c>
      <c r="B7" s="6">
        <f t="shared" si="0"/>
        <v>1998</v>
      </c>
      <c r="C7" t="str">
        <f t="shared" si="1"/>
        <v>Q2</v>
      </c>
      <c r="D7" s="7">
        <v>26642</v>
      </c>
      <c r="E7" s="8">
        <v>24567</v>
      </c>
      <c r="F7" s="7">
        <v>2073</v>
      </c>
      <c r="G7" s="6">
        <v>707</v>
      </c>
      <c r="H7" s="9">
        <v>1367</v>
      </c>
      <c r="I7" s="18">
        <v>71.074500001763681</v>
      </c>
      <c r="J7" s="19">
        <v>71.9721705703558</v>
      </c>
      <c r="K7" s="20">
        <v>61.925251285837312</v>
      </c>
      <c r="L7" s="18">
        <v>66.422792627075921</v>
      </c>
      <c r="M7" s="21">
        <v>59.869244039456802</v>
      </c>
    </row>
    <row r="8" spans="1:13" x14ac:dyDescent="0.3">
      <c r="A8" s="5" t="s">
        <v>10</v>
      </c>
      <c r="B8" s="6">
        <f t="shared" si="0"/>
        <v>1998</v>
      </c>
      <c r="C8" t="str">
        <f t="shared" si="1"/>
        <v>Q3</v>
      </c>
      <c r="D8" s="7">
        <v>26969</v>
      </c>
      <c r="E8" s="8">
        <v>24902</v>
      </c>
      <c r="F8" s="7">
        <v>2065</v>
      </c>
      <c r="G8" s="6">
        <v>698</v>
      </c>
      <c r="H8" s="9">
        <v>1367</v>
      </c>
      <c r="I8" s="18">
        <v>71.925425610157305</v>
      </c>
      <c r="J8" s="19">
        <v>72.873345575991692</v>
      </c>
      <c r="K8" s="20">
        <v>62.166378749576999</v>
      </c>
      <c r="L8" s="18">
        <v>67.377299292403563</v>
      </c>
      <c r="M8" s="21">
        <v>59.835723297065044</v>
      </c>
    </row>
    <row r="9" spans="1:13" x14ac:dyDescent="0.3">
      <c r="A9" s="5" t="s">
        <v>11</v>
      </c>
      <c r="B9" s="6">
        <f t="shared" si="0"/>
        <v>1998</v>
      </c>
      <c r="C9" t="str">
        <f t="shared" si="1"/>
        <v>Q4</v>
      </c>
      <c r="D9" s="7">
        <v>27017</v>
      </c>
      <c r="E9" s="8">
        <v>24877</v>
      </c>
      <c r="F9" s="7">
        <v>2140</v>
      </c>
      <c r="G9" s="6">
        <v>715</v>
      </c>
      <c r="H9" s="9">
        <v>1425</v>
      </c>
      <c r="I9" s="18">
        <v>71.949771012921929</v>
      </c>
      <c r="J9" s="19">
        <v>72.865371141059853</v>
      </c>
      <c r="K9" s="20">
        <v>62.769903349804522</v>
      </c>
      <c r="L9" s="18">
        <v>67.868631755885872</v>
      </c>
      <c r="M9" s="21">
        <v>60.515782995795419</v>
      </c>
    </row>
    <row r="10" spans="1:13" x14ac:dyDescent="0.3">
      <c r="A10" s="5" t="s">
        <v>12</v>
      </c>
      <c r="B10" s="6">
        <f t="shared" si="0"/>
        <v>1999</v>
      </c>
      <c r="C10" t="str">
        <f t="shared" si="1"/>
        <v>Q1</v>
      </c>
      <c r="D10" s="7">
        <v>26909</v>
      </c>
      <c r="E10" s="8">
        <v>24777</v>
      </c>
      <c r="F10" s="7">
        <v>2130</v>
      </c>
      <c r="G10" s="6">
        <v>724</v>
      </c>
      <c r="H10" s="9">
        <v>1406</v>
      </c>
      <c r="I10" s="18">
        <v>71.5242340966591</v>
      </c>
      <c r="J10" s="19">
        <v>72.433993329694573</v>
      </c>
      <c r="K10" s="20">
        <v>62.418283796480026</v>
      </c>
      <c r="L10" s="18">
        <v>68.108985936086782</v>
      </c>
      <c r="M10" s="21">
        <v>59.866931186313607</v>
      </c>
    </row>
    <row r="11" spans="1:13" x14ac:dyDescent="0.3">
      <c r="A11" s="5" t="s">
        <v>13</v>
      </c>
      <c r="B11" s="6">
        <f t="shared" si="0"/>
        <v>1999</v>
      </c>
      <c r="C11" t="str">
        <f t="shared" si="1"/>
        <v>Q2</v>
      </c>
      <c r="D11" s="7">
        <v>27023</v>
      </c>
      <c r="E11" s="8">
        <v>24922</v>
      </c>
      <c r="F11" s="7">
        <v>2100</v>
      </c>
      <c r="G11" s="6">
        <v>689</v>
      </c>
      <c r="H11" s="9">
        <v>1411</v>
      </c>
      <c r="I11" s="18">
        <v>71.683692857301708</v>
      </c>
      <c r="J11" s="19">
        <v>72.623770911899825</v>
      </c>
      <c r="K11" s="20">
        <v>62.146967398002928</v>
      </c>
      <c r="L11" s="18">
        <v>67.998704911451853</v>
      </c>
      <c r="M11" s="21">
        <v>59.665004066235802</v>
      </c>
    </row>
    <row r="12" spans="1:13" x14ac:dyDescent="0.3">
      <c r="A12" s="5" t="s">
        <v>14</v>
      </c>
      <c r="B12" s="6">
        <f t="shared" si="0"/>
        <v>1999</v>
      </c>
      <c r="C12" t="str">
        <f t="shared" si="1"/>
        <v>Q3</v>
      </c>
      <c r="D12" s="7">
        <v>27351</v>
      </c>
      <c r="E12" s="8">
        <v>25236</v>
      </c>
      <c r="F12" s="7">
        <v>2113</v>
      </c>
      <c r="G12" s="6">
        <v>682</v>
      </c>
      <c r="H12" s="9">
        <v>1431</v>
      </c>
      <c r="I12" s="18">
        <v>72.475549297942777</v>
      </c>
      <c r="J12" s="19">
        <v>73.362334734517432</v>
      </c>
      <c r="K12" s="20">
        <v>63.377744825470728</v>
      </c>
      <c r="L12" s="18">
        <v>69.272631771971319</v>
      </c>
      <c r="M12" s="21">
        <v>60.93371713152569</v>
      </c>
    </row>
    <row r="13" spans="1:13" x14ac:dyDescent="0.3">
      <c r="A13" s="5" t="s">
        <v>15</v>
      </c>
      <c r="B13" s="6">
        <f t="shared" si="0"/>
        <v>1999</v>
      </c>
      <c r="C13" t="str">
        <f t="shared" si="1"/>
        <v>Q4</v>
      </c>
      <c r="D13" s="7">
        <v>27385</v>
      </c>
      <c r="E13" s="8">
        <v>25263</v>
      </c>
      <c r="F13" s="7">
        <v>2119</v>
      </c>
      <c r="G13" s="6">
        <v>694</v>
      </c>
      <c r="H13" s="9">
        <v>1425</v>
      </c>
      <c r="I13" s="18">
        <v>72.443839257101388</v>
      </c>
      <c r="J13" s="19">
        <v>73.427981055080679</v>
      </c>
      <c r="K13" s="20">
        <v>62.502769478918232</v>
      </c>
      <c r="L13" s="18">
        <v>67.537415944622097</v>
      </c>
      <c r="M13" s="21">
        <v>60.349559996657391</v>
      </c>
    </row>
    <row r="14" spans="1:13" x14ac:dyDescent="0.3">
      <c r="A14" s="5" t="s">
        <v>16</v>
      </c>
      <c r="B14" s="6">
        <f t="shared" si="0"/>
        <v>2000</v>
      </c>
      <c r="C14" t="str">
        <f t="shared" si="1"/>
        <v>Q1</v>
      </c>
      <c r="D14" s="7">
        <v>27239</v>
      </c>
      <c r="E14" s="8">
        <v>25102</v>
      </c>
      <c r="F14" s="7">
        <v>2135</v>
      </c>
      <c r="G14" s="6">
        <v>707</v>
      </c>
      <c r="H14" s="9">
        <v>1427</v>
      </c>
      <c r="I14" s="18">
        <v>71.939580184391147</v>
      </c>
      <c r="J14" s="19">
        <v>72.97072317786666</v>
      </c>
      <c r="K14" s="20">
        <v>61.785164063798462</v>
      </c>
      <c r="L14" s="18">
        <v>66.780464380213971</v>
      </c>
      <c r="M14" s="21">
        <v>59.638450997456069</v>
      </c>
    </row>
    <row r="15" spans="1:13" x14ac:dyDescent="0.3">
      <c r="A15" s="5" t="s">
        <v>17</v>
      </c>
      <c r="B15" s="6">
        <f t="shared" si="0"/>
        <v>2000</v>
      </c>
      <c r="C15" t="str">
        <f t="shared" si="1"/>
        <v>Q2</v>
      </c>
      <c r="D15" s="7">
        <v>27399</v>
      </c>
      <c r="E15" s="8">
        <v>25199</v>
      </c>
      <c r="F15" s="7">
        <v>2198</v>
      </c>
      <c r="G15" s="6">
        <v>698</v>
      </c>
      <c r="H15" s="9">
        <v>1500</v>
      </c>
      <c r="I15" s="18">
        <v>72.281804766967866</v>
      </c>
      <c r="J15" s="19">
        <v>73.326301081068991</v>
      </c>
      <c r="K15" s="20">
        <v>62.196779365310718</v>
      </c>
      <c r="L15" s="18">
        <v>66.603805965585735</v>
      </c>
      <c r="M15" s="21">
        <v>60.400082615819294</v>
      </c>
    </row>
    <row r="16" spans="1:13" x14ac:dyDescent="0.3">
      <c r="A16" s="5" t="s">
        <v>18</v>
      </c>
      <c r="B16" s="6">
        <f t="shared" si="0"/>
        <v>2000</v>
      </c>
      <c r="C16" t="str">
        <f t="shared" si="1"/>
        <v>Q3</v>
      </c>
      <c r="D16" s="7">
        <v>27685</v>
      </c>
      <c r="E16" s="8">
        <v>25447</v>
      </c>
      <c r="F16" s="7">
        <v>2236</v>
      </c>
      <c r="G16" s="6">
        <v>707</v>
      </c>
      <c r="H16" s="9">
        <v>1530</v>
      </c>
      <c r="I16" s="18">
        <v>72.97322686128625</v>
      </c>
      <c r="J16" s="19">
        <v>73.966206848019638</v>
      </c>
      <c r="K16" s="20">
        <v>63.326960961383769</v>
      </c>
      <c r="L16" s="18">
        <v>69.994966492834692</v>
      </c>
      <c r="M16" s="21">
        <v>60.726098193290376</v>
      </c>
    </row>
    <row r="17" spans="1:13" x14ac:dyDescent="0.3">
      <c r="A17" s="5" t="s">
        <v>19</v>
      </c>
      <c r="B17" s="6">
        <f t="shared" si="0"/>
        <v>2000</v>
      </c>
      <c r="C17" t="str">
        <f t="shared" si="1"/>
        <v>Q4</v>
      </c>
      <c r="D17" s="7">
        <v>27611</v>
      </c>
      <c r="E17" s="8">
        <v>25340</v>
      </c>
      <c r="F17" s="7">
        <v>2269</v>
      </c>
      <c r="G17" s="6">
        <v>730</v>
      </c>
      <c r="H17" s="9">
        <v>1540</v>
      </c>
      <c r="I17" s="18">
        <v>72.67191964148077</v>
      </c>
      <c r="J17" s="19">
        <v>73.625988380521406</v>
      </c>
      <c r="K17" s="20">
        <v>63.463831163884997</v>
      </c>
      <c r="L17" s="18">
        <v>70.654921186396479</v>
      </c>
      <c r="M17" s="21">
        <v>60.615004423201022</v>
      </c>
    </row>
    <row r="18" spans="1:13" x14ac:dyDescent="0.3">
      <c r="A18" s="5" t="s">
        <v>20</v>
      </c>
      <c r="B18" s="6">
        <f t="shared" si="0"/>
        <v>2001</v>
      </c>
      <c r="C18" t="str">
        <f t="shared" si="1"/>
        <v>Q1</v>
      </c>
      <c r="D18" s="7">
        <v>27505</v>
      </c>
      <c r="E18" s="8">
        <v>25229</v>
      </c>
      <c r="F18" s="7">
        <v>2272</v>
      </c>
      <c r="G18" s="6">
        <v>726</v>
      </c>
      <c r="H18" s="9">
        <v>1546</v>
      </c>
      <c r="I18" s="18">
        <v>72.328514682480829</v>
      </c>
      <c r="J18" s="19">
        <v>73.283208268268822</v>
      </c>
      <c r="K18" s="20">
        <v>63.162146171138446</v>
      </c>
      <c r="L18" s="18">
        <v>70.214025464605484</v>
      </c>
      <c r="M18" s="21">
        <v>60.35688463795691</v>
      </c>
    </row>
    <row r="19" spans="1:13" x14ac:dyDescent="0.3">
      <c r="A19" s="5" t="s">
        <v>21</v>
      </c>
      <c r="B19" s="6">
        <f t="shared" si="0"/>
        <v>2001</v>
      </c>
      <c r="C19" t="str">
        <f t="shared" si="1"/>
        <v>Q2</v>
      </c>
      <c r="D19" s="7">
        <v>27643</v>
      </c>
      <c r="E19" s="8">
        <v>25350</v>
      </c>
      <c r="F19" s="7">
        <v>2286</v>
      </c>
      <c r="G19" s="6">
        <v>729</v>
      </c>
      <c r="H19" s="9">
        <v>1557</v>
      </c>
      <c r="I19" s="18">
        <v>72.501254119942232</v>
      </c>
      <c r="J19" s="19">
        <v>73.532114201808113</v>
      </c>
      <c r="K19" s="20">
        <v>62.729004320290272</v>
      </c>
      <c r="L19" s="18">
        <v>69.948597773859973</v>
      </c>
      <c r="M19" s="21">
        <v>59.890685321045197</v>
      </c>
    </row>
    <row r="20" spans="1:13" x14ac:dyDescent="0.3">
      <c r="A20" s="5" t="s">
        <v>22</v>
      </c>
      <c r="B20" s="6">
        <f t="shared" si="0"/>
        <v>2001</v>
      </c>
      <c r="C20" t="str">
        <f t="shared" si="1"/>
        <v>Q3</v>
      </c>
      <c r="D20" s="7">
        <v>27838</v>
      </c>
      <c r="E20" s="8">
        <v>25510</v>
      </c>
      <c r="F20" s="7">
        <v>2326</v>
      </c>
      <c r="G20" s="6">
        <v>717</v>
      </c>
      <c r="H20" s="9">
        <v>1610</v>
      </c>
      <c r="I20" s="18">
        <v>72.854448281265292</v>
      </c>
      <c r="J20" s="19">
        <v>73.874609127650288</v>
      </c>
      <c r="K20" s="20">
        <v>63.314077171564598</v>
      </c>
      <c r="L20" s="18">
        <v>69.283144427185789</v>
      </c>
      <c r="M20" s="21">
        <v>61.005712514001168</v>
      </c>
    </row>
    <row r="21" spans="1:13" x14ac:dyDescent="0.3">
      <c r="A21" s="5" t="s">
        <v>23</v>
      </c>
      <c r="B21" s="6">
        <f t="shared" si="0"/>
        <v>2001</v>
      </c>
      <c r="C21" t="str">
        <f t="shared" si="1"/>
        <v>Q4</v>
      </c>
      <c r="D21" s="7">
        <v>27860</v>
      </c>
      <c r="E21" s="8">
        <v>25498</v>
      </c>
      <c r="F21" s="7">
        <v>2359</v>
      </c>
      <c r="G21" s="6">
        <v>727</v>
      </c>
      <c r="H21" s="9">
        <v>1632</v>
      </c>
      <c r="I21" s="18">
        <v>72.744782150287108</v>
      </c>
      <c r="J21" s="19">
        <v>73.755800152787955</v>
      </c>
      <c r="K21" s="20">
        <v>63.374766535711991</v>
      </c>
      <c r="L21" s="18">
        <v>68.994188183517295</v>
      </c>
      <c r="M21" s="21">
        <v>61.177557281707365</v>
      </c>
    </row>
    <row r="22" spans="1:13" x14ac:dyDescent="0.3">
      <c r="A22" s="5" t="s">
        <v>24</v>
      </c>
      <c r="B22" s="6">
        <f t="shared" si="0"/>
        <v>2002</v>
      </c>
      <c r="C22" t="str">
        <f t="shared" si="1"/>
        <v>Q1</v>
      </c>
      <c r="D22" s="7">
        <v>27688</v>
      </c>
      <c r="E22" s="8">
        <v>25326</v>
      </c>
      <c r="F22" s="7">
        <v>2361</v>
      </c>
      <c r="G22" s="6">
        <v>732</v>
      </c>
      <c r="H22" s="9">
        <v>1629</v>
      </c>
      <c r="I22" s="18">
        <v>72.169181561665965</v>
      </c>
      <c r="J22" s="19">
        <v>73.225038664868208</v>
      </c>
      <c r="K22" s="20">
        <v>62.496221812018959</v>
      </c>
      <c r="L22" s="18">
        <v>67.847722658435998</v>
      </c>
      <c r="M22" s="21">
        <v>60.388220008140422</v>
      </c>
    </row>
    <row r="23" spans="1:13" x14ac:dyDescent="0.3">
      <c r="A23" s="5" t="s">
        <v>25</v>
      </c>
      <c r="B23" s="6">
        <f t="shared" si="0"/>
        <v>2002</v>
      </c>
      <c r="C23" t="str">
        <f t="shared" si="1"/>
        <v>Q2</v>
      </c>
      <c r="D23" s="7">
        <v>27873</v>
      </c>
      <c r="E23" s="8">
        <v>25434</v>
      </c>
      <c r="F23" s="7">
        <v>2436</v>
      </c>
      <c r="G23" s="6">
        <v>724</v>
      </c>
      <c r="H23" s="9">
        <v>1712</v>
      </c>
      <c r="I23" s="18">
        <v>72.517950751837873</v>
      </c>
      <c r="J23" s="19">
        <v>73.521734070071432</v>
      </c>
      <c r="K23" s="20">
        <v>63.450462459491121</v>
      </c>
      <c r="L23" s="18">
        <v>69.390832447694422</v>
      </c>
      <c r="M23" s="21">
        <v>61.275509592946328</v>
      </c>
    </row>
    <row r="24" spans="1:13" x14ac:dyDescent="0.3">
      <c r="A24" s="5" t="s">
        <v>26</v>
      </c>
      <c r="B24" s="6">
        <f t="shared" si="0"/>
        <v>2002</v>
      </c>
      <c r="C24" t="str">
        <f t="shared" si="1"/>
        <v>Q3</v>
      </c>
      <c r="D24" s="7">
        <v>28051</v>
      </c>
      <c r="E24" s="8">
        <v>25550</v>
      </c>
      <c r="F24" s="7">
        <v>2499</v>
      </c>
      <c r="G24" s="6">
        <v>741</v>
      </c>
      <c r="H24" s="9">
        <v>1758</v>
      </c>
      <c r="I24" s="18">
        <v>72.878172856479679</v>
      </c>
      <c r="J24" s="19">
        <v>73.896971000286072</v>
      </c>
      <c r="K24" s="20">
        <v>63.949147125752368</v>
      </c>
      <c r="L24" s="18">
        <v>69.883520007472157</v>
      </c>
      <c r="M24" s="21">
        <v>61.782166609822639</v>
      </c>
    </row>
    <row r="25" spans="1:13" x14ac:dyDescent="0.3">
      <c r="A25" s="5" t="s">
        <v>27</v>
      </c>
      <c r="B25" s="6">
        <f t="shared" si="0"/>
        <v>2002</v>
      </c>
      <c r="C25" t="str">
        <f t="shared" si="1"/>
        <v>Q4</v>
      </c>
      <c r="D25" s="7">
        <v>28164</v>
      </c>
      <c r="E25" s="8">
        <v>25629</v>
      </c>
      <c r="F25" s="7">
        <v>2532</v>
      </c>
      <c r="G25" s="6">
        <v>756</v>
      </c>
      <c r="H25" s="9">
        <v>1776</v>
      </c>
      <c r="I25" s="18">
        <v>73.029109111475648</v>
      </c>
      <c r="J25" s="19">
        <v>74.053287660156272</v>
      </c>
      <c r="K25" s="20">
        <v>64.071715937541086</v>
      </c>
      <c r="L25" s="18">
        <v>70.374859884988027</v>
      </c>
      <c r="M25" s="21">
        <v>61.752990708774512</v>
      </c>
    </row>
    <row r="26" spans="1:13" x14ac:dyDescent="0.3">
      <c r="A26" s="5" t="s">
        <v>28</v>
      </c>
      <c r="B26" s="6">
        <f t="shared" si="0"/>
        <v>2003</v>
      </c>
      <c r="C26" t="str">
        <f t="shared" si="1"/>
        <v>Q1</v>
      </c>
      <c r="D26" s="7">
        <v>28002</v>
      </c>
      <c r="E26" s="8">
        <v>25476</v>
      </c>
      <c r="F26" s="7">
        <v>2525</v>
      </c>
      <c r="G26" s="6">
        <v>758</v>
      </c>
      <c r="H26" s="9">
        <v>1767</v>
      </c>
      <c r="I26" s="18">
        <v>72.420249033049203</v>
      </c>
      <c r="J26" s="19">
        <v>73.499475223368435</v>
      </c>
      <c r="K26" s="20">
        <v>63.148714573725108</v>
      </c>
      <c r="L26" s="18">
        <v>70.006881366576408</v>
      </c>
      <c r="M26" s="21">
        <v>60.664503716732163</v>
      </c>
    </row>
    <row r="27" spans="1:13" x14ac:dyDescent="0.3">
      <c r="A27" s="5" t="s">
        <v>29</v>
      </c>
      <c r="B27" s="6">
        <f t="shared" si="0"/>
        <v>2003</v>
      </c>
      <c r="C27" t="str">
        <f t="shared" si="1"/>
        <v>Q2</v>
      </c>
      <c r="D27" s="7">
        <v>28166</v>
      </c>
      <c r="E27" s="8">
        <v>25588</v>
      </c>
      <c r="F27" s="7">
        <v>2576</v>
      </c>
      <c r="G27" s="6">
        <v>763</v>
      </c>
      <c r="H27" s="9">
        <v>1814</v>
      </c>
      <c r="I27" s="18">
        <v>72.716228109913999</v>
      </c>
      <c r="J27" s="19">
        <v>73.757862405310533</v>
      </c>
      <c r="K27" s="20">
        <v>63.842688529593659</v>
      </c>
      <c r="L27" s="18">
        <v>71.229276434612558</v>
      </c>
      <c r="M27" s="21">
        <v>61.208301921710898</v>
      </c>
    </row>
    <row r="28" spans="1:13" x14ac:dyDescent="0.3">
      <c r="A28" s="5" t="s">
        <v>30</v>
      </c>
      <c r="B28" s="6">
        <f t="shared" si="0"/>
        <v>2003</v>
      </c>
      <c r="C28" t="str">
        <f t="shared" si="1"/>
        <v>Q3</v>
      </c>
      <c r="D28" s="7">
        <v>28366</v>
      </c>
      <c r="E28" s="8">
        <v>25770</v>
      </c>
      <c r="F28" s="7">
        <v>2593</v>
      </c>
      <c r="G28" s="6">
        <v>736</v>
      </c>
      <c r="H28" s="9">
        <v>1857</v>
      </c>
      <c r="I28" s="18">
        <v>73.073281282670848</v>
      </c>
      <c r="J28" s="19">
        <v>74.069353563712468</v>
      </c>
      <c r="K28" s="20">
        <v>64.539179089411462</v>
      </c>
      <c r="L28" s="18">
        <v>69.657124790232743</v>
      </c>
      <c r="M28" s="21">
        <v>62.734245232436102</v>
      </c>
    </row>
    <row r="29" spans="1:13" x14ac:dyDescent="0.3">
      <c r="A29" s="5" t="s">
        <v>31</v>
      </c>
      <c r="B29" s="6">
        <f t="shared" si="0"/>
        <v>2003</v>
      </c>
      <c r="C29" t="str">
        <f t="shared" si="1"/>
        <v>Q4</v>
      </c>
      <c r="D29" s="7">
        <v>28358</v>
      </c>
      <c r="E29" s="8">
        <v>25792</v>
      </c>
      <c r="F29" s="7">
        <v>2564</v>
      </c>
      <c r="G29" s="6">
        <v>752</v>
      </c>
      <c r="H29" s="9">
        <v>1812</v>
      </c>
      <c r="I29" s="18">
        <v>72.924708710040605</v>
      </c>
      <c r="J29" s="19">
        <v>74.014660747330268</v>
      </c>
      <c r="K29" s="20">
        <v>63.616325022563458</v>
      </c>
      <c r="L29" s="18">
        <v>68.677010233849373</v>
      </c>
      <c r="M29" s="21">
        <v>61.76194314172637</v>
      </c>
    </row>
    <row r="30" spans="1:13" x14ac:dyDescent="0.3">
      <c r="A30" s="5" t="s">
        <v>32</v>
      </c>
      <c r="B30" s="6">
        <f t="shared" si="0"/>
        <v>2004</v>
      </c>
      <c r="C30" t="str">
        <f t="shared" si="1"/>
        <v>Q1</v>
      </c>
      <c r="D30" s="7">
        <v>28371</v>
      </c>
      <c r="E30" s="8">
        <v>25779</v>
      </c>
      <c r="F30" s="7">
        <v>2593</v>
      </c>
      <c r="G30" s="6">
        <v>746</v>
      </c>
      <c r="H30" s="9">
        <v>1847</v>
      </c>
      <c r="I30" s="18">
        <v>72.796454027823842</v>
      </c>
      <c r="J30" s="19">
        <v>73.867321832576295</v>
      </c>
      <c r="K30" s="20">
        <v>63.745820698913533</v>
      </c>
      <c r="L30" s="18">
        <v>66.998838226751673</v>
      </c>
      <c r="M30" s="21">
        <v>62.534802690940474</v>
      </c>
    </row>
    <row r="31" spans="1:13" x14ac:dyDescent="0.3">
      <c r="A31" s="5" t="s">
        <v>33</v>
      </c>
      <c r="B31" s="6">
        <f t="shared" si="0"/>
        <v>2004</v>
      </c>
      <c r="C31" t="str">
        <f t="shared" si="1"/>
        <v>Q2</v>
      </c>
      <c r="D31" s="7">
        <v>28407</v>
      </c>
      <c r="E31" s="8">
        <v>25722</v>
      </c>
      <c r="F31" s="7">
        <v>2684</v>
      </c>
      <c r="G31" s="6">
        <v>771</v>
      </c>
      <c r="H31" s="9">
        <v>1913</v>
      </c>
      <c r="I31" s="18">
        <v>72.706671161602614</v>
      </c>
      <c r="J31" s="19">
        <v>73.718192449359364</v>
      </c>
      <c r="K31" s="20">
        <v>64.362005699349794</v>
      </c>
      <c r="L31" s="18">
        <v>69.522425115021292</v>
      </c>
      <c r="M31" s="21">
        <v>62.503067541552149</v>
      </c>
    </row>
    <row r="32" spans="1:13" x14ac:dyDescent="0.3">
      <c r="A32" s="5" t="s">
        <v>34</v>
      </c>
      <c r="B32" s="6">
        <f t="shared" si="0"/>
        <v>2004</v>
      </c>
      <c r="C32" t="str">
        <f t="shared" si="1"/>
        <v>Q3</v>
      </c>
      <c r="D32" s="7">
        <v>28627</v>
      </c>
      <c r="E32" s="8">
        <v>25891</v>
      </c>
      <c r="F32" s="7">
        <v>2733</v>
      </c>
      <c r="G32" s="6">
        <v>791</v>
      </c>
      <c r="H32" s="9">
        <v>1942</v>
      </c>
      <c r="I32" s="18">
        <v>73.155811570379541</v>
      </c>
      <c r="J32" s="19">
        <v>74.115886286796211</v>
      </c>
      <c r="K32" s="20">
        <v>65.272320777642761</v>
      </c>
      <c r="L32" s="18">
        <v>71.683430263591504</v>
      </c>
      <c r="M32" s="21">
        <v>62.998849483090368</v>
      </c>
    </row>
    <row r="33" spans="1:13" x14ac:dyDescent="0.3">
      <c r="A33" s="5" t="s">
        <v>35</v>
      </c>
      <c r="B33" s="6">
        <f t="shared" si="0"/>
        <v>2004</v>
      </c>
      <c r="C33" t="str">
        <f t="shared" si="1"/>
        <v>Q4</v>
      </c>
      <c r="D33" s="7">
        <v>28728</v>
      </c>
      <c r="E33" s="8">
        <v>25910</v>
      </c>
      <c r="F33" s="7">
        <v>2817</v>
      </c>
      <c r="G33" s="6">
        <v>827</v>
      </c>
      <c r="H33" s="9">
        <v>1990</v>
      </c>
      <c r="I33" s="18">
        <v>73.199031748150659</v>
      </c>
      <c r="J33" s="19">
        <v>74.161760682755158</v>
      </c>
      <c r="K33" s="20">
        <v>65.519241501029242</v>
      </c>
      <c r="L33" s="18">
        <v>73.393008342051303</v>
      </c>
      <c r="M33" s="21">
        <v>62.742291358065735</v>
      </c>
    </row>
    <row r="34" spans="1:13" x14ac:dyDescent="0.3">
      <c r="A34" s="5" t="s">
        <v>36</v>
      </c>
      <c r="B34" s="6">
        <f t="shared" si="0"/>
        <v>2005</v>
      </c>
      <c r="C34" t="str">
        <f t="shared" si="1"/>
        <v>Q1</v>
      </c>
      <c r="D34" s="7">
        <v>28705</v>
      </c>
      <c r="E34" s="8">
        <v>25871</v>
      </c>
      <c r="F34" s="7">
        <v>2833</v>
      </c>
      <c r="G34" s="6">
        <v>829</v>
      </c>
      <c r="H34" s="9">
        <v>2004</v>
      </c>
      <c r="I34" s="18">
        <v>72.85086513342452</v>
      </c>
      <c r="J34" s="19">
        <v>73.757120681330619</v>
      </c>
      <c r="K34" s="20">
        <v>65.696673352211278</v>
      </c>
      <c r="L34" s="18">
        <v>71.946329741852892</v>
      </c>
      <c r="M34" s="21">
        <v>63.467566660527822</v>
      </c>
    </row>
    <row r="35" spans="1:13" x14ac:dyDescent="0.3">
      <c r="A35" s="5" t="s">
        <v>37</v>
      </c>
      <c r="B35" s="6">
        <f t="shared" si="0"/>
        <v>2005</v>
      </c>
      <c r="C35" t="str">
        <f t="shared" si="1"/>
        <v>Q2</v>
      </c>
      <c r="D35" s="7">
        <v>28735</v>
      </c>
      <c r="E35" s="8">
        <v>25885</v>
      </c>
      <c r="F35" s="7">
        <v>2844</v>
      </c>
      <c r="G35" s="6">
        <v>851</v>
      </c>
      <c r="H35" s="9">
        <v>1993</v>
      </c>
      <c r="I35" s="18">
        <v>72.715580164353185</v>
      </c>
      <c r="J35" s="19">
        <v>73.774520296118411</v>
      </c>
      <c r="K35" s="20">
        <v>64.447067501747426</v>
      </c>
      <c r="L35" s="18">
        <v>72.504422520242201</v>
      </c>
      <c r="M35" s="21">
        <v>61.574752689583811</v>
      </c>
    </row>
    <row r="36" spans="1:13" x14ac:dyDescent="0.3">
      <c r="A36" s="5" t="s">
        <v>38</v>
      </c>
      <c r="B36" s="6">
        <f t="shared" si="0"/>
        <v>2005</v>
      </c>
      <c r="C36" t="str">
        <f t="shared" si="1"/>
        <v>Q3</v>
      </c>
      <c r="D36" s="7">
        <v>29035</v>
      </c>
      <c r="E36" s="8">
        <v>26088</v>
      </c>
      <c r="F36" s="7">
        <v>2945</v>
      </c>
      <c r="G36" s="6">
        <v>916</v>
      </c>
      <c r="H36" s="9">
        <v>2029</v>
      </c>
      <c r="I36" s="18">
        <v>73.327507012245164</v>
      </c>
      <c r="J36" s="19">
        <v>74.32206550309391</v>
      </c>
      <c r="K36" s="20">
        <v>65.660706152148336</v>
      </c>
      <c r="L36" s="18">
        <v>74.31632771259784</v>
      </c>
      <c r="M36" s="21">
        <v>62.404790478969865</v>
      </c>
    </row>
    <row r="37" spans="1:13" x14ac:dyDescent="0.3">
      <c r="A37" s="5" t="s">
        <v>39</v>
      </c>
      <c r="B37" s="6">
        <f t="shared" si="0"/>
        <v>2005</v>
      </c>
      <c r="C37" t="str">
        <f t="shared" si="1"/>
        <v>Q4</v>
      </c>
      <c r="D37" s="7">
        <v>28938</v>
      </c>
      <c r="E37" s="8">
        <v>25916</v>
      </c>
      <c r="F37" s="7">
        <v>3021</v>
      </c>
      <c r="G37" s="6">
        <v>940</v>
      </c>
      <c r="H37" s="9">
        <v>2081</v>
      </c>
      <c r="I37" s="18">
        <v>72.8350665087723</v>
      </c>
      <c r="J37" s="19">
        <v>73.76049297927625</v>
      </c>
      <c r="K37" s="20">
        <v>65.840955039312888</v>
      </c>
      <c r="L37" s="18">
        <v>73.16547083132437</v>
      </c>
      <c r="M37" s="21">
        <v>63.008085423927007</v>
      </c>
    </row>
    <row r="38" spans="1:13" x14ac:dyDescent="0.3">
      <c r="A38" s="5" t="s">
        <v>40</v>
      </c>
      <c r="B38" s="6">
        <f t="shared" si="0"/>
        <v>2006</v>
      </c>
      <c r="C38" t="str">
        <f t="shared" si="1"/>
        <v>Q1</v>
      </c>
      <c r="D38" s="7">
        <v>28966</v>
      </c>
      <c r="E38" s="8">
        <v>25850</v>
      </c>
      <c r="F38" s="7">
        <v>3114</v>
      </c>
      <c r="G38" s="6">
        <v>975</v>
      </c>
      <c r="H38" s="9">
        <v>2139</v>
      </c>
      <c r="I38" s="18">
        <v>72.682501234292019</v>
      </c>
      <c r="J38" s="19">
        <v>73.542294758576645</v>
      </c>
      <c r="K38" s="20">
        <v>66.351298835227581</v>
      </c>
      <c r="L38" s="18">
        <v>75.00522100145875</v>
      </c>
      <c r="M38" s="21">
        <v>63.043565678014424</v>
      </c>
    </row>
    <row r="39" spans="1:13" x14ac:dyDescent="0.3">
      <c r="A39" s="5" t="s">
        <v>41</v>
      </c>
      <c r="B39" s="6">
        <f t="shared" si="0"/>
        <v>2006</v>
      </c>
      <c r="C39" t="str">
        <f t="shared" si="1"/>
        <v>Q2</v>
      </c>
      <c r="D39" s="7">
        <v>29032</v>
      </c>
      <c r="E39" s="8">
        <v>25806</v>
      </c>
      <c r="F39" s="7">
        <v>3224</v>
      </c>
      <c r="G39" s="6">
        <v>997</v>
      </c>
      <c r="H39" s="9">
        <v>2227</v>
      </c>
      <c r="I39" s="18">
        <v>72.649089571262977</v>
      </c>
      <c r="J39" s="19">
        <v>73.470213301480939</v>
      </c>
      <c r="K39" s="20">
        <v>66.772379504157925</v>
      </c>
      <c r="L39" s="18">
        <v>75.581825127406816</v>
      </c>
      <c r="M39" s="21">
        <v>63.470937009424276</v>
      </c>
    </row>
    <row r="40" spans="1:13" x14ac:dyDescent="0.3">
      <c r="A40" s="5" t="s">
        <v>42</v>
      </c>
      <c r="B40" s="6">
        <f t="shared" si="0"/>
        <v>2006</v>
      </c>
      <c r="C40" t="str">
        <f t="shared" si="1"/>
        <v>Q3</v>
      </c>
      <c r="D40" s="7">
        <v>29289</v>
      </c>
      <c r="E40" s="8">
        <v>26010</v>
      </c>
      <c r="F40" s="7">
        <v>3273</v>
      </c>
      <c r="G40" s="7">
        <v>1019</v>
      </c>
      <c r="H40" s="9">
        <v>2254</v>
      </c>
      <c r="I40" s="18">
        <v>73.093541448874262</v>
      </c>
      <c r="J40" s="19">
        <v>73.922919762371876</v>
      </c>
      <c r="K40" s="20">
        <v>67.266902719498844</v>
      </c>
      <c r="L40" s="18">
        <v>77.358837024256033</v>
      </c>
      <c r="M40" s="21">
        <v>63.523619196071401</v>
      </c>
    </row>
    <row r="41" spans="1:13" x14ac:dyDescent="0.3">
      <c r="A41" s="5" t="s">
        <v>43</v>
      </c>
      <c r="B41" s="6">
        <f t="shared" si="0"/>
        <v>2006</v>
      </c>
      <c r="C41" t="str">
        <f t="shared" si="1"/>
        <v>Q4</v>
      </c>
      <c r="D41" s="7">
        <v>29276</v>
      </c>
      <c r="E41" s="8">
        <v>25929</v>
      </c>
      <c r="F41" s="7">
        <v>3341</v>
      </c>
      <c r="G41" s="7">
        <v>1076</v>
      </c>
      <c r="H41" s="9">
        <v>2264</v>
      </c>
      <c r="I41" s="18">
        <v>72.875160472264042</v>
      </c>
      <c r="J41" s="19">
        <v>73.689075717194939</v>
      </c>
      <c r="K41" s="20">
        <v>67.235499846206835</v>
      </c>
      <c r="L41" s="18">
        <v>76.04433656163495</v>
      </c>
      <c r="M41" s="21">
        <v>63.744513774257207</v>
      </c>
    </row>
    <row r="42" spans="1:13" x14ac:dyDescent="0.3">
      <c r="A42" s="5" t="s">
        <v>44</v>
      </c>
      <c r="B42" s="6">
        <f t="shared" si="0"/>
        <v>2007</v>
      </c>
      <c r="C42" t="str">
        <f t="shared" si="1"/>
        <v>Q1</v>
      </c>
      <c r="D42" s="7">
        <v>29108</v>
      </c>
      <c r="E42" s="8">
        <v>25728</v>
      </c>
      <c r="F42" s="7">
        <v>3373</v>
      </c>
      <c r="G42" s="7">
        <v>1084</v>
      </c>
      <c r="H42" s="9">
        <v>2289</v>
      </c>
      <c r="I42" s="18">
        <v>72.275700535018316</v>
      </c>
      <c r="J42" s="19">
        <v>73.18046601098105</v>
      </c>
      <c r="K42" s="20">
        <v>66.198980968188124</v>
      </c>
      <c r="L42" s="18">
        <v>76.008619315244871</v>
      </c>
      <c r="M42" s="21">
        <v>62.393572956138975</v>
      </c>
    </row>
    <row r="43" spans="1:13" x14ac:dyDescent="0.3">
      <c r="A43" s="5" t="s">
        <v>45</v>
      </c>
      <c r="B43" s="6">
        <f t="shared" si="0"/>
        <v>2007</v>
      </c>
      <c r="C43" t="str">
        <f t="shared" si="1"/>
        <v>Q2</v>
      </c>
      <c r="D43" s="7">
        <v>29242</v>
      </c>
      <c r="E43" s="8">
        <v>25729</v>
      </c>
      <c r="F43" s="7">
        <v>3502</v>
      </c>
      <c r="G43" s="7">
        <v>1189</v>
      </c>
      <c r="H43" s="9">
        <v>2314</v>
      </c>
      <c r="I43" s="18">
        <v>72.442938281644402</v>
      </c>
      <c r="J43" s="19">
        <v>73.295576711469906</v>
      </c>
      <c r="K43" s="20">
        <v>67.038402402283452</v>
      </c>
      <c r="L43" s="18">
        <v>76.271193062975527</v>
      </c>
      <c r="M43" s="21">
        <v>63.116104425458865</v>
      </c>
    </row>
    <row r="44" spans="1:13" x14ac:dyDescent="0.3">
      <c r="A44" s="5" t="s">
        <v>46</v>
      </c>
      <c r="B44" s="6">
        <f t="shared" si="0"/>
        <v>2007</v>
      </c>
      <c r="C44" t="str">
        <f t="shared" si="1"/>
        <v>Q3</v>
      </c>
      <c r="D44" s="7">
        <v>29525</v>
      </c>
      <c r="E44" s="8">
        <v>25934</v>
      </c>
      <c r="F44" s="7">
        <v>3583</v>
      </c>
      <c r="G44" s="7">
        <v>1191</v>
      </c>
      <c r="H44" s="9">
        <v>2392</v>
      </c>
      <c r="I44" s="18">
        <v>72.957609242094676</v>
      </c>
      <c r="J44" s="19">
        <v>73.72985220848922</v>
      </c>
      <c r="K44" s="20">
        <v>67.919573060820497</v>
      </c>
      <c r="L44" s="18">
        <v>77.363557015628317</v>
      </c>
      <c r="M44" s="21">
        <v>64.032939535981527</v>
      </c>
    </row>
    <row r="45" spans="1:13" x14ac:dyDescent="0.3">
      <c r="A45" s="5" t="s">
        <v>47</v>
      </c>
      <c r="B45" s="6">
        <f t="shared" si="0"/>
        <v>2007</v>
      </c>
      <c r="C45" t="str">
        <f t="shared" si="1"/>
        <v>Q4</v>
      </c>
      <c r="D45" s="7">
        <v>29640</v>
      </c>
      <c r="E45" s="8">
        <v>25994</v>
      </c>
      <c r="F45" s="7">
        <v>3643</v>
      </c>
      <c r="G45" s="7">
        <v>1240</v>
      </c>
      <c r="H45" s="9">
        <v>2403</v>
      </c>
      <c r="I45" s="18">
        <v>73.079498002261161</v>
      </c>
      <c r="J45" s="19">
        <v>73.945836507850629</v>
      </c>
      <c r="K45" s="20">
        <v>67.602948786806166</v>
      </c>
      <c r="L45" s="18">
        <v>77.474713862395845</v>
      </c>
      <c r="M45" s="21">
        <v>63.418805343904452</v>
      </c>
    </row>
    <row r="46" spans="1:13" x14ac:dyDescent="0.3">
      <c r="A46" s="5" t="s">
        <v>48</v>
      </c>
      <c r="B46" s="6">
        <f t="shared" si="0"/>
        <v>2008</v>
      </c>
      <c r="C46" t="str">
        <f t="shared" si="1"/>
        <v>Q1</v>
      </c>
      <c r="D46" s="7">
        <v>29596</v>
      </c>
      <c r="E46" s="8">
        <v>25873</v>
      </c>
      <c r="F46" s="7">
        <v>3722</v>
      </c>
      <c r="G46" s="7">
        <v>1306</v>
      </c>
      <c r="H46" s="9">
        <v>2415</v>
      </c>
      <c r="I46" s="18">
        <v>72.74502595444126</v>
      </c>
      <c r="J46" s="19">
        <v>73.457131315144224</v>
      </c>
      <c r="K46" s="20">
        <v>68.245471884013511</v>
      </c>
      <c r="L46" s="18">
        <v>77.887002085795558</v>
      </c>
      <c r="M46" s="21">
        <v>63.951520194267971</v>
      </c>
    </row>
    <row r="47" spans="1:13" x14ac:dyDescent="0.3">
      <c r="A47" s="5" t="s">
        <v>49</v>
      </c>
      <c r="B47" s="6">
        <f t="shared" si="0"/>
        <v>2008</v>
      </c>
      <c r="C47" t="str">
        <f t="shared" si="1"/>
        <v>Q2</v>
      </c>
      <c r="D47" s="7">
        <v>29637</v>
      </c>
      <c r="E47" s="8">
        <v>25879</v>
      </c>
      <c r="F47" s="7">
        <v>3756</v>
      </c>
      <c r="G47" s="7">
        <v>1298</v>
      </c>
      <c r="H47" s="9">
        <v>2458</v>
      </c>
      <c r="I47" s="18">
        <v>72.681835712034669</v>
      </c>
      <c r="J47" s="19">
        <v>73.433558918779639</v>
      </c>
      <c r="K47" s="20">
        <v>67.971003392035925</v>
      </c>
      <c r="L47" s="18">
        <v>78.074429019365837</v>
      </c>
      <c r="M47" s="21">
        <v>63.615805694834172</v>
      </c>
    </row>
    <row r="48" spans="1:13" x14ac:dyDescent="0.3">
      <c r="A48" s="5" t="s">
        <v>50</v>
      </c>
      <c r="B48" s="6">
        <f t="shared" si="0"/>
        <v>2008</v>
      </c>
      <c r="C48" t="str">
        <f t="shared" si="1"/>
        <v>Q3</v>
      </c>
      <c r="D48" s="7">
        <v>29685</v>
      </c>
      <c r="E48" s="8">
        <v>25906</v>
      </c>
      <c r="F48" s="7">
        <v>3773</v>
      </c>
      <c r="G48" s="7">
        <v>1274</v>
      </c>
      <c r="H48" s="9">
        <v>2499</v>
      </c>
      <c r="I48" s="18">
        <v>72.710239161494201</v>
      </c>
      <c r="J48" s="19">
        <v>73.487563897313919</v>
      </c>
      <c r="K48" s="20">
        <v>68.063823639370412</v>
      </c>
      <c r="L48" s="18">
        <v>78.14515130992649</v>
      </c>
      <c r="M48" s="21">
        <v>63.86049478430651</v>
      </c>
    </row>
    <row r="49" spans="1:13" x14ac:dyDescent="0.3">
      <c r="A49" s="5" t="s">
        <v>51</v>
      </c>
      <c r="B49" s="6">
        <f t="shared" si="0"/>
        <v>2008</v>
      </c>
      <c r="C49" t="str">
        <f t="shared" si="1"/>
        <v>Q4</v>
      </c>
      <c r="D49" s="7">
        <v>29593</v>
      </c>
      <c r="E49" s="8">
        <v>25716</v>
      </c>
      <c r="F49" s="7">
        <v>3868</v>
      </c>
      <c r="G49" s="7">
        <v>1275</v>
      </c>
      <c r="H49" s="9">
        <v>2593</v>
      </c>
      <c r="I49" s="18">
        <v>72.341982867049026</v>
      </c>
      <c r="J49" s="19">
        <v>73.127717365377507</v>
      </c>
      <c r="K49" s="20">
        <v>67.762921214639462</v>
      </c>
      <c r="L49" s="18">
        <v>76.14066096055852</v>
      </c>
      <c r="M49" s="21">
        <v>64.291721949189551</v>
      </c>
    </row>
    <row r="50" spans="1:13" x14ac:dyDescent="0.3">
      <c r="A50" s="5" t="s">
        <v>52</v>
      </c>
      <c r="B50" s="6">
        <f t="shared" si="0"/>
        <v>2009</v>
      </c>
      <c r="C50" t="str">
        <f t="shared" si="1"/>
        <v>Q1</v>
      </c>
      <c r="D50" s="7">
        <v>29277</v>
      </c>
      <c r="E50" s="8">
        <v>25411</v>
      </c>
      <c r="F50" s="7">
        <v>3857</v>
      </c>
      <c r="G50" s="7">
        <v>1314</v>
      </c>
      <c r="H50" s="9">
        <v>2543</v>
      </c>
      <c r="I50" s="18">
        <v>71.440910438964295</v>
      </c>
      <c r="J50" s="19">
        <v>72.148415545531194</v>
      </c>
      <c r="K50" s="20">
        <v>67.357829954525741</v>
      </c>
      <c r="L50" s="18">
        <v>76.510613698568477</v>
      </c>
      <c r="M50" s="21">
        <v>63.443084639199832</v>
      </c>
    </row>
    <row r="51" spans="1:13" x14ac:dyDescent="0.3">
      <c r="A51" s="5" t="s">
        <v>53</v>
      </c>
      <c r="B51" s="6">
        <f t="shared" si="0"/>
        <v>2009</v>
      </c>
      <c r="C51" t="str">
        <f t="shared" si="1"/>
        <v>Q2</v>
      </c>
      <c r="D51" s="7">
        <v>29003</v>
      </c>
      <c r="E51" s="8">
        <v>25215</v>
      </c>
      <c r="F51" s="7">
        <v>3784</v>
      </c>
      <c r="G51" s="7">
        <v>1299</v>
      </c>
      <c r="H51" s="9">
        <v>2485</v>
      </c>
      <c r="I51" s="18">
        <v>70.623631132096705</v>
      </c>
      <c r="J51" s="19">
        <v>71.427885256682629</v>
      </c>
      <c r="K51" s="20">
        <v>65.880984167475503</v>
      </c>
      <c r="L51" s="18">
        <v>75.539653267103674</v>
      </c>
      <c r="M51" s="21">
        <v>61.764889522196043</v>
      </c>
    </row>
    <row r="52" spans="1:13" x14ac:dyDescent="0.3">
      <c r="A52" s="5" t="s">
        <v>54</v>
      </c>
      <c r="B52" s="6">
        <f t="shared" si="0"/>
        <v>2009</v>
      </c>
      <c r="C52" t="str">
        <f t="shared" si="1"/>
        <v>Q3</v>
      </c>
      <c r="D52" s="7">
        <v>29170</v>
      </c>
      <c r="E52" s="8">
        <v>25421</v>
      </c>
      <c r="F52" s="7">
        <v>3738</v>
      </c>
      <c r="G52" s="7">
        <v>1290</v>
      </c>
      <c r="H52" s="9">
        <v>2448</v>
      </c>
      <c r="I52" s="18">
        <v>70.881607985675316</v>
      </c>
      <c r="J52" s="19">
        <v>71.62706650626609</v>
      </c>
      <c r="K52" s="20">
        <v>66.404213704623942</v>
      </c>
      <c r="L52" s="18">
        <v>76.003785967896135</v>
      </c>
      <c r="M52" s="21">
        <v>62.272290289667723</v>
      </c>
    </row>
    <row r="53" spans="1:13" x14ac:dyDescent="0.3">
      <c r="A53" s="5" t="s">
        <v>55</v>
      </c>
      <c r="B53" s="6">
        <f t="shared" si="0"/>
        <v>2009</v>
      </c>
      <c r="C53" t="str">
        <f t="shared" si="1"/>
        <v>Q4</v>
      </c>
      <c r="D53" s="7">
        <v>29167</v>
      </c>
      <c r="E53" s="8">
        <v>25385</v>
      </c>
      <c r="F53" s="7">
        <v>3775</v>
      </c>
      <c r="G53" s="7">
        <v>1257</v>
      </c>
      <c r="H53" s="9">
        <v>2518</v>
      </c>
      <c r="I53" s="18">
        <v>70.71887773714198</v>
      </c>
      <c r="J53" s="19">
        <v>71.489299310422993</v>
      </c>
      <c r="K53" s="20">
        <v>66.115749987942309</v>
      </c>
      <c r="L53" s="18">
        <v>75.379145040588924</v>
      </c>
      <c r="M53" s="21">
        <v>62.298819840234501</v>
      </c>
    </row>
    <row r="54" spans="1:13" x14ac:dyDescent="0.3">
      <c r="A54" s="5" t="s">
        <v>56</v>
      </c>
      <c r="B54" s="6">
        <f t="shared" si="0"/>
        <v>2010</v>
      </c>
      <c r="C54" t="str">
        <f t="shared" si="1"/>
        <v>Q1</v>
      </c>
      <c r="D54" s="7">
        <v>28924</v>
      </c>
      <c r="E54" s="8">
        <v>25170</v>
      </c>
      <c r="F54" s="7">
        <v>3749</v>
      </c>
      <c r="G54" s="7">
        <v>1278</v>
      </c>
      <c r="H54" s="9">
        <v>2471</v>
      </c>
      <c r="I54" s="18">
        <v>69.963551543780127</v>
      </c>
      <c r="J54" s="19">
        <v>70.713163625342105</v>
      </c>
      <c r="K54" s="20">
        <v>65.536764574082952</v>
      </c>
      <c r="L54" s="18">
        <v>74.342291655845543</v>
      </c>
      <c r="M54" s="21">
        <v>61.750795148080385</v>
      </c>
    </row>
    <row r="55" spans="1:13" x14ac:dyDescent="0.3">
      <c r="A55" s="5" t="s">
        <v>57</v>
      </c>
      <c r="B55" s="6">
        <f t="shared" si="0"/>
        <v>2010</v>
      </c>
      <c r="C55" t="str">
        <f t="shared" si="1"/>
        <v>Q2</v>
      </c>
      <c r="D55" s="7">
        <v>29110</v>
      </c>
      <c r="E55" s="8">
        <v>25202</v>
      </c>
      <c r="F55" s="7">
        <v>3901</v>
      </c>
      <c r="G55" s="7">
        <v>1373</v>
      </c>
      <c r="H55" s="9">
        <v>2528</v>
      </c>
      <c r="I55" s="18">
        <v>70.212233799767816</v>
      </c>
      <c r="J55" s="19">
        <v>70.876577679615465</v>
      </c>
      <c r="K55" s="20">
        <v>66.348875061920069</v>
      </c>
      <c r="L55" s="18">
        <v>75.326592129659588</v>
      </c>
      <c r="M55" s="21">
        <v>62.324139750461683</v>
      </c>
    </row>
    <row r="56" spans="1:13" x14ac:dyDescent="0.3">
      <c r="A56" s="5" t="s">
        <v>58</v>
      </c>
      <c r="B56" s="6">
        <f t="shared" si="0"/>
        <v>2010</v>
      </c>
      <c r="C56" t="str">
        <f t="shared" si="1"/>
        <v>Q3</v>
      </c>
      <c r="D56" s="7">
        <v>29484</v>
      </c>
      <c r="E56" s="8">
        <v>25537</v>
      </c>
      <c r="F56" s="7">
        <v>3944</v>
      </c>
      <c r="G56" s="7">
        <v>1389</v>
      </c>
      <c r="H56" s="9">
        <v>2555</v>
      </c>
      <c r="I56" s="18">
        <v>70.962918237796487</v>
      </c>
      <c r="J56" s="19">
        <v>71.54100008362353</v>
      </c>
      <c r="K56" s="20">
        <v>67.616880465643476</v>
      </c>
      <c r="L56" s="18">
        <v>75.706617378504319</v>
      </c>
      <c r="M56" s="21">
        <v>63.893901003846331</v>
      </c>
    </row>
    <row r="57" spans="1:13" x14ac:dyDescent="0.3">
      <c r="A57" s="5" t="s">
        <v>59</v>
      </c>
      <c r="B57" s="6">
        <f t="shared" si="0"/>
        <v>2010</v>
      </c>
      <c r="C57" t="str">
        <f t="shared" si="1"/>
        <v>Q4</v>
      </c>
      <c r="D57" s="7">
        <v>29390</v>
      </c>
      <c r="E57" s="8">
        <v>25434</v>
      </c>
      <c r="F57" s="7">
        <v>3951</v>
      </c>
      <c r="G57" s="7">
        <v>1386</v>
      </c>
      <c r="H57" s="9">
        <v>2565</v>
      </c>
      <c r="I57" s="18">
        <v>70.555346803515178</v>
      </c>
      <c r="J57" s="19">
        <v>71.156808166506522</v>
      </c>
      <c r="K57" s="20">
        <v>67.077780489311863</v>
      </c>
      <c r="L57" s="18">
        <v>75.702030542854885</v>
      </c>
      <c r="M57" s="21">
        <v>63.17201847514832</v>
      </c>
    </row>
    <row r="58" spans="1:13" x14ac:dyDescent="0.3">
      <c r="A58" s="5" t="s">
        <v>60</v>
      </c>
      <c r="B58" s="6">
        <f t="shared" si="0"/>
        <v>2011</v>
      </c>
      <c r="C58" t="str">
        <f t="shared" si="1"/>
        <v>Q1</v>
      </c>
      <c r="D58" s="7">
        <v>29350</v>
      </c>
      <c r="E58" s="8">
        <v>25253</v>
      </c>
      <c r="F58" s="7">
        <v>4088</v>
      </c>
      <c r="G58" s="7">
        <v>1490</v>
      </c>
      <c r="H58" s="9">
        <v>2598</v>
      </c>
      <c r="I58" s="18">
        <v>70.311964341002565</v>
      </c>
      <c r="J58" s="19">
        <v>70.899134970405299</v>
      </c>
      <c r="K58" s="20">
        <v>67.095114391864485</v>
      </c>
      <c r="L58" s="18">
        <v>75.832603285602431</v>
      </c>
      <c r="M58" s="21">
        <v>62.917322895941332</v>
      </c>
    </row>
    <row r="59" spans="1:13" x14ac:dyDescent="0.3">
      <c r="A59" s="5" t="s">
        <v>61</v>
      </c>
      <c r="B59" s="6">
        <f t="shared" si="0"/>
        <v>2011</v>
      </c>
      <c r="C59" t="str">
        <f t="shared" si="1"/>
        <v>Q2</v>
      </c>
      <c r="D59" s="7">
        <v>29367</v>
      </c>
      <c r="E59" s="8">
        <v>25156</v>
      </c>
      <c r="F59" s="7">
        <v>4203</v>
      </c>
      <c r="G59" s="7">
        <v>1523</v>
      </c>
      <c r="H59" s="9">
        <v>2680</v>
      </c>
      <c r="I59" s="18">
        <v>70.248498007638688</v>
      </c>
      <c r="J59" s="19">
        <v>70.838726233411137</v>
      </c>
      <c r="K59" s="20">
        <v>66.99865254697157</v>
      </c>
      <c r="L59" s="18">
        <v>76.933874169964113</v>
      </c>
      <c r="M59" s="21">
        <v>62.395911325701825</v>
      </c>
    </row>
    <row r="60" spans="1:13" x14ac:dyDescent="0.3">
      <c r="A60" s="5" t="s">
        <v>62</v>
      </c>
      <c r="B60" s="6">
        <f t="shared" si="0"/>
        <v>2011</v>
      </c>
      <c r="C60" t="str">
        <f t="shared" si="1"/>
        <v>Q3</v>
      </c>
      <c r="D60" s="7">
        <v>29376</v>
      </c>
      <c r="E60" s="8">
        <v>25235</v>
      </c>
      <c r="F60" s="7">
        <v>4131</v>
      </c>
      <c r="G60" s="7">
        <v>1471</v>
      </c>
      <c r="H60" s="9">
        <v>2659</v>
      </c>
      <c r="I60" s="18">
        <v>70.351423635101156</v>
      </c>
      <c r="J60" s="19">
        <v>70.950087374478528</v>
      </c>
      <c r="K60" s="20">
        <v>67.051240020135864</v>
      </c>
      <c r="L60" s="18">
        <v>76.475285193117571</v>
      </c>
      <c r="M60" s="21">
        <v>62.748331160766128</v>
      </c>
    </row>
    <row r="61" spans="1:13" x14ac:dyDescent="0.3">
      <c r="A61" s="5" t="s">
        <v>63</v>
      </c>
      <c r="B61" s="6">
        <f t="shared" si="0"/>
        <v>2011</v>
      </c>
      <c r="C61" t="str">
        <f t="shared" si="1"/>
        <v>Q4</v>
      </c>
      <c r="D61" s="7">
        <v>29405</v>
      </c>
      <c r="E61" s="8">
        <v>25226</v>
      </c>
      <c r="F61" s="7">
        <v>4168</v>
      </c>
      <c r="G61" s="7">
        <v>1513</v>
      </c>
      <c r="H61" s="9">
        <v>2654</v>
      </c>
      <c r="I61" s="18">
        <v>70.374693912796758</v>
      </c>
      <c r="J61" s="19">
        <v>71.152633314776253</v>
      </c>
      <c r="K61" s="20">
        <v>66.183565595327167</v>
      </c>
      <c r="L61" s="18">
        <v>75.351370566755477</v>
      </c>
      <c r="M61" s="21">
        <v>61.890858220014465</v>
      </c>
    </row>
    <row r="62" spans="1:13" x14ac:dyDescent="0.3">
      <c r="A62" s="5" t="s">
        <v>64</v>
      </c>
      <c r="B62" s="6">
        <f t="shared" si="0"/>
        <v>2012</v>
      </c>
      <c r="C62" t="str">
        <f t="shared" si="1"/>
        <v>Q1</v>
      </c>
      <c r="D62" s="7">
        <v>29365</v>
      </c>
      <c r="E62" s="8">
        <v>25255</v>
      </c>
      <c r="F62" s="7">
        <v>4104</v>
      </c>
      <c r="G62" s="7">
        <v>1547</v>
      </c>
      <c r="H62" s="9">
        <v>2557</v>
      </c>
      <c r="I62" s="18">
        <v>70.243786134604207</v>
      </c>
      <c r="J62" s="19">
        <v>71.156377530863793</v>
      </c>
      <c r="K62" s="20">
        <v>65.248958356939596</v>
      </c>
      <c r="L62" s="18">
        <v>73.969402439748222</v>
      </c>
      <c r="M62" s="21">
        <v>60.900758366361153</v>
      </c>
    </row>
    <row r="63" spans="1:13" x14ac:dyDescent="0.3">
      <c r="A63" s="5" t="s">
        <v>65</v>
      </c>
      <c r="B63" s="6">
        <f t="shared" si="0"/>
        <v>2012</v>
      </c>
      <c r="C63" t="str">
        <f t="shared" si="1"/>
        <v>Q2</v>
      </c>
      <c r="D63" s="7">
        <v>29587</v>
      </c>
      <c r="E63" s="8">
        <v>25319</v>
      </c>
      <c r="F63" s="7">
        <v>4259</v>
      </c>
      <c r="G63" s="7">
        <v>1582</v>
      </c>
      <c r="H63" s="9">
        <v>2677</v>
      </c>
      <c r="I63" s="18">
        <v>70.710796072420806</v>
      </c>
      <c r="J63" s="19">
        <v>71.446862150638864</v>
      </c>
      <c r="K63" s="20">
        <v>66.809584734136735</v>
      </c>
      <c r="L63" s="18">
        <v>74.500919355939956</v>
      </c>
      <c r="M63" s="21">
        <v>62.935117924335437</v>
      </c>
    </row>
    <row r="64" spans="1:13" x14ac:dyDescent="0.3">
      <c r="A64" s="5" t="s">
        <v>66</v>
      </c>
      <c r="B64" s="6">
        <f t="shared" si="0"/>
        <v>2012</v>
      </c>
      <c r="C64" t="str">
        <f t="shared" si="1"/>
        <v>Q3</v>
      </c>
      <c r="D64" s="7">
        <v>29851</v>
      </c>
      <c r="E64" s="8">
        <v>25519</v>
      </c>
      <c r="F64" s="7">
        <v>4327</v>
      </c>
      <c r="G64" s="7">
        <v>1553</v>
      </c>
      <c r="H64" s="9">
        <v>2774</v>
      </c>
      <c r="I64" s="18">
        <v>71.364509749214207</v>
      </c>
      <c r="J64" s="19">
        <v>72.016785251831081</v>
      </c>
      <c r="K64" s="20">
        <v>67.912841402665748</v>
      </c>
      <c r="L64" s="18">
        <v>76.086722400474457</v>
      </c>
      <c r="M64" s="21">
        <v>64.033700571678366</v>
      </c>
    </row>
    <row r="65" spans="1:13" x14ac:dyDescent="0.3">
      <c r="A65" s="5" t="s">
        <v>67</v>
      </c>
      <c r="B65" s="6">
        <f t="shared" si="0"/>
        <v>2012</v>
      </c>
      <c r="C65" t="str">
        <f t="shared" si="1"/>
        <v>Q4</v>
      </c>
      <c r="D65" s="7">
        <v>29974</v>
      </c>
      <c r="E65" s="8">
        <v>25586</v>
      </c>
      <c r="F65" s="7">
        <v>4380</v>
      </c>
      <c r="G65" s="7">
        <v>1601</v>
      </c>
      <c r="H65" s="9">
        <v>2779</v>
      </c>
      <c r="I65" s="18">
        <v>71.564582332944582</v>
      </c>
      <c r="J65" s="19">
        <v>72.321068120543757</v>
      </c>
      <c r="K65" s="20">
        <v>67.681614521321848</v>
      </c>
      <c r="L65" s="18">
        <v>76.534268521318126</v>
      </c>
      <c r="M65" s="21">
        <v>63.431361949375443</v>
      </c>
    </row>
    <row r="66" spans="1:13" x14ac:dyDescent="0.3">
      <c r="A66" s="5" t="s">
        <v>68</v>
      </c>
      <c r="B66" s="6">
        <f t="shared" si="0"/>
        <v>2013</v>
      </c>
      <c r="C66" t="str">
        <f t="shared" si="1"/>
        <v>Q1</v>
      </c>
      <c r="D66" s="7">
        <v>29750</v>
      </c>
      <c r="E66" s="8">
        <v>25415</v>
      </c>
      <c r="F66" s="7">
        <v>4322</v>
      </c>
      <c r="G66" s="7">
        <v>1592</v>
      </c>
      <c r="H66" s="9">
        <v>2730</v>
      </c>
      <c r="I66" s="18">
        <v>70.959156553656996</v>
      </c>
      <c r="J66" s="19">
        <v>71.713346890039958</v>
      </c>
      <c r="K66" s="20">
        <v>67.095993639928935</v>
      </c>
      <c r="L66" s="18">
        <v>75.456493028382638</v>
      </c>
      <c r="M66" s="21">
        <v>63.001369991962179</v>
      </c>
    </row>
    <row r="67" spans="1:13" x14ac:dyDescent="0.3">
      <c r="A67" s="5" t="s">
        <v>69</v>
      </c>
      <c r="B67" s="6">
        <f t="shared" ref="B67:B118" si="2">(RIGHT(TRIM(A67),4))*1</f>
        <v>2013</v>
      </c>
      <c r="C67" t="str">
        <f t="shared" ref="C67:C118" si="3">IF(LEFT(A67,3)="Jan","Q1",IF(LEFT(A67,3)="Apr","Q2",IF(LEFT(A67,3)="Jul","Q3",IF(LEFT(A67,3)="Oct","Q4",""))))</f>
        <v>Q2</v>
      </c>
      <c r="D67" s="7">
        <v>29861</v>
      </c>
      <c r="E67" s="8">
        <v>25391</v>
      </c>
      <c r="F67" s="7">
        <v>4457</v>
      </c>
      <c r="G67" s="7">
        <v>1665</v>
      </c>
      <c r="H67" s="9">
        <v>2792</v>
      </c>
      <c r="I67" s="18">
        <v>71.145253265185232</v>
      </c>
      <c r="J67" s="19">
        <v>71.851135388384307</v>
      </c>
      <c r="K67" s="20">
        <v>67.648992315912921</v>
      </c>
      <c r="L67" s="18">
        <v>76.88417858279368</v>
      </c>
      <c r="M67" s="21">
        <v>63.102506653348414</v>
      </c>
    </row>
    <row r="68" spans="1:13" x14ac:dyDescent="0.3">
      <c r="A68" s="5" t="s">
        <v>70</v>
      </c>
      <c r="B68" s="6">
        <f t="shared" si="2"/>
        <v>2013</v>
      </c>
      <c r="C68" t="str">
        <f t="shared" si="3"/>
        <v>Q3</v>
      </c>
      <c r="D68" s="7">
        <v>30194</v>
      </c>
      <c r="E68" s="8">
        <v>25740</v>
      </c>
      <c r="F68" s="7">
        <v>4440</v>
      </c>
      <c r="G68" s="7">
        <v>1639</v>
      </c>
      <c r="H68" s="9">
        <v>2801</v>
      </c>
      <c r="I68" s="18">
        <v>71.871223036290829</v>
      </c>
      <c r="J68" s="19">
        <v>72.514193205723345</v>
      </c>
      <c r="K68" s="20">
        <v>68.601433017617396</v>
      </c>
      <c r="L68" s="18">
        <v>77.690527239768684</v>
      </c>
      <c r="M68" s="21">
        <v>64.204561020561897</v>
      </c>
    </row>
    <row r="69" spans="1:13" x14ac:dyDescent="0.3">
      <c r="A69" s="5" t="s">
        <v>71</v>
      </c>
      <c r="B69" s="6">
        <f t="shared" si="2"/>
        <v>2013</v>
      </c>
      <c r="C69" t="str">
        <f t="shared" si="3"/>
        <v>Q4</v>
      </c>
      <c r="D69" s="7">
        <v>30362</v>
      </c>
      <c r="E69" s="8">
        <v>25822</v>
      </c>
      <c r="F69" s="7">
        <v>4523</v>
      </c>
      <c r="G69" s="7">
        <v>1723</v>
      </c>
      <c r="H69" s="9">
        <v>2800</v>
      </c>
      <c r="I69" s="18">
        <v>72.164099834463499</v>
      </c>
      <c r="J69" s="19">
        <v>72.792193899243699</v>
      </c>
      <c r="K69" s="20">
        <v>69.076615190014394</v>
      </c>
      <c r="L69" s="18">
        <v>77.218194313594296</v>
      </c>
      <c r="M69" s="21">
        <v>64.844914705451387</v>
      </c>
    </row>
    <row r="70" spans="1:13" x14ac:dyDescent="0.3">
      <c r="A70" s="5" t="s">
        <v>72</v>
      </c>
      <c r="B70" s="6">
        <f t="shared" si="2"/>
        <v>2014</v>
      </c>
      <c r="C70" t="str">
        <f t="shared" si="3"/>
        <v>Q1</v>
      </c>
      <c r="D70" s="7">
        <v>30446</v>
      </c>
      <c r="E70" s="8">
        <v>25809</v>
      </c>
      <c r="F70" s="7">
        <v>4622</v>
      </c>
      <c r="G70" s="7">
        <v>1763</v>
      </c>
      <c r="H70" s="9">
        <v>2859</v>
      </c>
      <c r="I70" s="18">
        <v>72.253286986944644</v>
      </c>
      <c r="J70" s="19">
        <v>72.930050016281612</v>
      </c>
      <c r="K70" s="20">
        <v>69.048369687108107</v>
      </c>
      <c r="L70" s="18">
        <v>77.844026292800478</v>
      </c>
      <c r="M70" s="21">
        <v>64.537946169665531</v>
      </c>
    </row>
    <row r="71" spans="1:13" x14ac:dyDescent="0.3">
      <c r="A71" s="5" t="s">
        <v>73</v>
      </c>
      <c r="B71" s="6">
        <f t="shared" si="2"/>
        <v>2014</v>
      </c>
      <c r="C71" t="str">
        <f t="shared" si="3"/>
        <v>Q2</v>
      </c>
      <c r="D71" s="7">
        <v>30628</v>
      </c>
      <c r="E71" s="8">
        <v>25828</v>
      </c>
      <c r="F71" s="7">
        <v>4798</v>
      </c>
      <c r="G71" s="7">
        <v>1852</v>
      </c>
      <c r="H71" s="9">
        <v>2945</v>
      </c>
      <c r="I71" s="18">
        <v>72.648837083755595</v>
      </c>
      <c r="J71" s="19">
        <v>73.153297580012875</v>
      </c>
      <c r="K71" s="20">
        <v>70.086331660569783</v>
      </c>
      <c r="L71" s="18">
        <v>79.314855922119307</v>
      </c>
      <c r="M71" s="21">
        <v>65.270078261185361</v>
      </c>
    </row>
    <row r="72" spans="1:13" x14ac:dyDescent="0.3">
      <c r="A72" s="5" t="s">
        <v>74</v>
      </c>
      <c r="B72" s="6">
        <f t="shared" si="2"/>
        <v>2014</v>
      </c>
      <c r="C72" t="str">
        <f t="shared" si="3"/>
        <v>Q3</v>
      </c>
      <c r="D72" s="7">
        <v>30918</v>
      </c>
      <c r="E72" s="8">
        <v>26148</v>
      </c>
      <c r="F72" s="7">
        <v>4764</v>
      </c>
      <c r="G72" s="7">
        <v>1824</v>
      </c>
      <c r="H72" s="9">
        <v>2941</v>
      </c>
      <c r="I72" s="18">
        <v>73.246633541807739</v>
      </c>
      <c r="J72" s="19">
        <v>73.766055811351706</v>
      </c>
      <c r="K72" s="20">
        <v>70.603766244938953</v>
      </c>
      <c r="L72" s="18">
        <v>78.326164325215203</v>
      </c>
      <c r="M72" s="21">
        <v>66.49990078495253</v>
      </c>
    </row>
    <row r="73" spans="1:13" x14ac:dyDescent="0.3">
      <c r="A73" s="5" t="s">
        <v>75</v>
      </c>
      <c r="B73" s="6">
        <f t="shared" si="2"/>
        <v>2014</v>
      </c>
      <c r="C73" t="str">
        <f t="shared" si="3"/>
        <v>Q4</v>
      </c>
      <c r="D73" s="7">
        <v>31018</v>
      </c>
      <c r="E73" s="8">
        <v>26193</v>
      </c>
      <c r="F73" s="7">
        <v>4802</v>
      </c>
      <c r="G73" s="7">
        <v>1907</v>
      </c>
      <c r="H73" s="9">
        <v>2895</v>
      </c>
      <c r="I73" s="18">
        <v>73.374172583082427</v>
      </c>
      <c r="J73" s="19">
        <v>74.05528046232665</v>
      </c>
      <c r="K73" s="20">
        <v>70.006841218333037</v>
      </c>
      <c r="L73" s="18">
        <v>79.343339935262307</v>
      </c>
      <c r="M73" s="21">
        <v>64.940057200811637</v>
      </c>
    </row>
    <row r="74" spans="1:13" x14ac:dyDescent="0.3">
      <c r="A74" s="5" t="s">
        <v>76</v>
      </c>
      <c r="B74" s="6">
        <f t="shared" si="2"/>
        <v>2015</v>
      </c>
      <c r="C74" t="str">
        <f t="shared" si="3"/>
        <v>Q1</v>
      </c>
      <c r="D74" s="7">
        <v>31074</v>
      </c>
      <c r="E74" s="8">
        <v>26145</v>
      </c>
      <c r="F74" s="7">
        <v>4910</v>
      </c>
      <c r="G74" s="7">
        <v>1959</v>
      </c>
      <c r="H74" s="9">
        <v>2951</v>
      </c>
      <c r="I74" s="18">
        <v>73.249022569804183</v>
      </c>
      <c r="J74" s="19">
        <v>73.973957165171072</v>
      </c>
      <c r="K74" s="20">
        <v>69.87342113727297</v>
      </c>
      <c r="L74" s="18">
        <v>79.261801189032965</v>
      </c>
      <c r="M74" s="21">
        <v>64.729049060486773</v>
      </c>
    </row>
    <row r="75" spans="1:13" x14ac:dyDescent="0.3">
      <c r="A75" s="5" t="s">
        <v>77</v>
      </c>
      <c r="B75" s="6">
        <f t="shared" si="2"/>
        <v>2015</v>
      </c>
      <c r="C75" t="str">
        <f t="shared" si="3"/>
        <v>Q2</v>
      </c>
      <c r="D75" s="7">
        <v>31035</v>
      </c>
      <c r="E75" s="8">
        <v>25987</v>
      </c>
      <c r="F75" s="7">
        <v>5036</v>
      </c>
      <c r="G75" s="7">
        <v>2048</v>
      </c>
      <c r="H75" s="9">
        <v>2988</v>
      </c>
      <c r="I75" s="18">
        <v>73.205676786676875</v>
      </c>
      <c r="J75" s="19">
        <v>73.814303184736445</v>
      </c>
      <c r="K75" s="20">
        <v>70.597421147825429</v>
      </c>
      <c r="L75" s="18">
        <v>79.529223904241647</v>
      </c>
      <c r="M75" s="21">
        <v>65.504945150716054</v>
      </c>
    </row>
    <row r="76" spans="1:13" x14ac:dyDescent="0.3">
      <c r="A76" s="5" t="s">
        <v>78</v>
      </c>
      <c r="B76" s="6">
        <f t="shared" si="2"/>
        <v>2015</v>
      </c>
      <c r="C76" t="str">
        <f t="shared" si="3"/>
        <v>Q3</v>
      </c>
      <c r="D76" s="7">
        <v>31416</v>
      </c>
      <c r="E76" s="8">
        <v>26273</v>
      </c>
      <c r="F76" s="7">
        <v>5123</v>
      </c>
      <c r="G76" s="7">
        <v>2121</v>
      </c>
      <c r="H76" s="9">
        <v>3002</v>
      </c>
      <c r="I76" s="18">
        <v>73.970852383922931</v>
      </c>
      <c r="J76" s="19">
        <v>74.458223268931206</v>
      </c>
      <c r="K76" s="20">
        <v>71.99013848874452</v>
      </c>
      <c r="L76" s="18">
        <v>80.441245036466142</v>
      </c>
      <c r="M76" s="21">
        <v>66.978585024073652</v>
      </c>
    </row>
    <row r="77" spans="1:13" x14ac:dyDescent="0.3">
      <c r="A77" s="5" t="s">
        <v>79</v>
      </c>
      <c r="B77" s="6">
        <f t="shared" si="2"/>
        <v>2015</v>
      </c>
      <c r="C77" t="str">
        <f t="shared" si="3"/>
        <v>Q4</v>
      </c>
      <c r="D77" s="7">
        <v>31615</v>
      </c>
      <c r="E77" s="8">
        <v>26485</v>
      </c>
      <c r="F77" s="7">
        <v>5114</v>
      </c>
      <c r="G77" s="7">
        <v>2115</v>
      </c>
      <c r="H77" s="9">
        <v>2999</v>
      </c>
      <c r="I77" s="18">
        <v>74.283406389043577</v>
      </c>
      <c r="J77" s="19">
        <v>74.921728200706454</v>
      </c>
      <c r="K77" s="20">
        <v>71.441441390113752</v>
      </c>
      <c r="L77" s="18">
        <v>79.800154239012372</v>
      </c>
      <c r="M77" s="21">
        <v>66.475025317547903</v>
      </c>
    </row>
    <row r="78" spans="1:13" x14ac:dyDescent="0.3">
      <c r="A78" s="5" t="s">
        <v>80</v>
      </c>
      <c r="B78" s="6">
        <f t="shared" si="2"/>
        <v>2016</v>
      </c>
      <c r="C78" t="str">
        <f t="shared" si="3"/>
        <v>Q1</v>
      </c>
      <c r="D78" s="7">
        <v>31499</v>
      </c>
      <c r="E78" s="8">
        <v>26251</v>
      </c>
      <c r="F78" s="7">
        <v>5242</v>
      </c>
      <c r="G78" s="7">
        <v>2210</v>
      </c>
      <c r="H78" s="9">
        <v>3032</v>
      </c>
      <c r="I78" s="18">
        <v>73.970410132045771</v>
      </c>
      <c r="J78" s="19">
        <v>74.611107839622477</v>
      </c>
      <c r="K78" s="20">
        <v>71.15279291807893</v>
      </c>
      <c r="L78" s="18">
        <v>78.681318126475048</v>
      </c>
      <c r="M78" s="21">
        <v>66.458333614439027</v>
      </c>
    </row>
    <row r="79" spans="1:13" x14ac:dyDescent="0.3">
      <c r="A79" s="5" t="s">
        <v>81</v>
      </c>
      <c r="B79" s="6">
        <f t="shared" si="2"/>
        <v>2016</v>
      </c>
      <c r="C79" t="str">
        <f t="shared" si="3"/>
        <v>Q2</v>
      </c>
      <c r="D79" s="7">
        <v>31673</v>
      </c>
      <c r="E79" s="8">
        <v>26261</v>
      </c>
      <c r="F79" s="7">
        <v>5406</v>
      </c>
      <c r="G79" s="7">
        <v>2335</v>
      </c>
      <c r="H79" s="9">
        <v>3071</v>
      </c>
      <c r="I79" s="18">
        <v>74.243751757205203</v>
      </c>
      <c r="J79" s="19">
        <v>74.747775441443849</v>
      </c>
      <c r="K79" s="20">
        <v>72.19324575253286</v>
      </c>
      <c r="L79" s="18">
        <v>79.402276728974059</v>
      </c>
      <c r="M79" s="21">
        <v>67.48445470546902</v>
      </c>
    </row>
    <row r="80" spans="1:13" x14ac:dyDescent="0.3">
      <c r="A80" s="5" t="s">
        <v>82</v>
      </c>
      <c r="B80" s="6">
        <f t="shared" si="2"/>
        <v>2016</v>
      </c>
      <c r="C80" t="str">
        <f t="shared" si="3"/>
        <v>Q3</v>
      </c>
      <c r="D80" s="7">
        <v>31890</v>
      </c>
      <c r="E80" s="8">
        <v>26326</v>
      </c>
      <c r="F80" s="7">
        <v>5556</v>
      </c>
      <c r="G80" s="7">
        <v>2354</v>
      </c>
      <c r="H80" s="9">
        <v>3202</v>
      </c>
      <c r="I80" s="18">
        <v>74.630481579262224</v>
      </c>
      <c r="J80" s="19">
        <v>75.032417031747727</v>
      </c>
      <c r="K80" s="20">
        <v>72.86758813283916</v>
      </c>
      <c r="L80" s="18">
        <v>81.009177542055738</v>
      </c>
      <c r="M80" s="21">
        <v>67.784416462913782</v>
      </c>
    </row>
    <row r="81" spans="1:13" x14ac:dyDescent="0.3">
      <c r="A81" s="5" t="s">
        <v>83</v>
      </c>
      <c r="B81" s="6">
        <f t="shared" si="2"/>
        <v>2016</v>
      </c>
      <c r="C81" t="str">
        <f t="shared" si="3"/>
        <v>Q4</v>
      </c>
      <c r="D81" s="7">
        <v>31920</v>
      </c>
      <c r="E81" s="8">
        <v>26367</v>
      </c>
      <c r="F81" s="7">
        <v>5548</v>
      </c>
      <c r="G81" s="7">
        <v>2304</v>
      </c>
      <c r="H81" s="9">
        <v>3244</v>
      </c>
      <c r="I81" s="18">
        <v>74.735220688256504</v>
      </c>
      <c r="J81" s="19">
        <v>75.214352673978155</v>
      </c>
      <c r="K81" s="20">
        <v>72.793839694978928</v>
      </c>
      <c r="L81" s="18">
        <v>80.779217101502127</v>
      </c>
      <c r="M81" s="21">
        <v>67.948914269293695</v>
      </c>
    </row>
    <row r="82" spans="1:13" x14ac:dyDescent="0.3">
      <c r="A82" s="5" t="s">
        <v>84</v>
      </c>
      <c r="B82" s="6">
        <f t="shared" si="2"/>
        <v>2017</v>
      </c>
      <c r="C82" t="str">
        <f t="shared" si="3"/>
        <v>Q1</v>
      </c>
      <c r="D82" s="7">
        <v>31878</v>
      </c>
      <c r="E82" s="8">
        <v>26260</v>
      </c>
      <c r="F82" s="7">
        <v>5613</v>
      </c>
      <c r="G82" s="7">
        <v>2354</v>
      </c>
      <c r="H82" s="9">
        <v>3259</v>
      </c>
      <c r="I82" s="18">
        <v>74.619398139183332</v>
      </c>
      <c r="J82" s="19">
        <v>75.285596176522986</v>
      </c>
      <c r="K82" s="20">
        <v>71.854148737197917</v>
      </c>
      <c r="L82" s="18">
        <v>79.445905091235318</v>
      </c>
      <c r="M82" s="21">
        <v>67.161240122217052</v>
      </c>
    </row>
    <row r="83" spans="1:13" x14ac:dyDescent="0.3">
      <c r="A83" s="5" t="s">
        <v>85</v>
      </c>
      <c r="B83" s="6">
        <f t="shared" si="2"/>
        <v>2017</v>
      </c>
      <c r="C83" t="str">
        <f t="shared" si="3"/>
        <v>Q2</v>
      </c>
      <c r="D83" s="7">
        <v>31996</v>
      </c>
      <c r="E83" s="8">
        <v>26345</v>
      </c>
      <c r="F83" s="7">
        <v>5648</v>
      </c>
      <c r="G83" s="7">
        <v>2366</v>
      </c>
      <c r="H83" s="9">
        <v>3283</v>
      </c>
      <c r="I83" s="18">
        <v>74.940065899805703</v>
      </c>
      <c r="J83" s="19">
        <v>75.513068543932434</v>
      </c>
      <c r="K83" s="20">
        <v>72.530222363552028</v>
      </c>
      <c r="L83" s="18">
        <v>80.576995183493196</v>
      </c>
      <c r="M83" s="21">
        <v>67.584551540897721</v>
      </c>
    </row>
    <row r="84" spans="1:13" x14ac:dyDescent="0.3">
      <c r="A84" s="5" t="s">
        <v>86</v>
      </c>
      <c r="B84" s="6">
        <f t="shared" si="2"/>
        <v>2017</v>
      </c>
      <c r="C84" t="str">
        <f t="shared" si="3"/>
        <v>Q3</v>
      </c>
      <c r="D84" s="7">
        <v>32138</v>
      </c>
      <c r="E84" s="8">
        <v>26463</v>
      </c>
      <c r="F84" s="7">
        <v>5673</v>
      </c>
      <c r="G84" s="7">
        <v>2394</v>
      </c>
      <c r="H84" s="9">
        <v>3279</v>
      </c>
      <c r="I84" s="18">
        <v>75.178426795612722</v>
      </c>
      <c r="J84" s="19">
        <v>75.511298472400966</v>
      </c>
      <c r="K84" s="20">
        <v>73.84895888785293</v>
      </c>
      <c r="L84" s="18">
        <v>81.782884837141822</v>
      </c>
      <c r="M84" s="21">
        <v>68.881550194567367</v>
      </c>
    </row>
    <row r="85" spans="1:13" x14ac:dyDescent="0.3">
      <c r="A85" s="5" t="s">
        <v>87</v>
      </c>
      <c r="B85" s="6">
        <f t="shared" si="2"/>
        <v>2017</v>
      </c>
      <c r="C85" t="str">
        <f t="shared" si="3"/>
        <v>Q4</v>
      </c>
      <c r="D85" s="7">
        <v>32230</v>
      </c>
      <c r="E85" s="8">
        <v>26659</v>
      </c>
      <c r="F85" s="7">
        <v>5568</v>
      </c>
      <c r="G85" s="7">
        <v>2378</v>
      </c>
      <c r="H85" s="9">
        <v>3190</v>
      </c>
      <c r="I85" s="18">
        <v>75.34838172974149</v>
      </c>
      <c r="J85" s="19">
        <v>75.767292438245832</v>
      </c>
      <c r="K85" s="20">
        <v>73.549142588421304</v>
      </c>
      <c r="L85" s="18">
        <v>81.593890376960815</v>
      </c>
      <c r="M85" s="21">
        <v>68.475217336514078</v>
      </c>
    </row>
    <row r="86" spans="1:13" x14ac:dyDescent="0.3">
      <c r="A86" s="5" t="s">
        <v>88</v>
      </c>
      <c r="B86" s="6">
        <f t="shared" si="2"/>
        <v>2018</v>
      </c>
      <c r="C86" t="str">
        <f t="shared" si="3"/>
        <v>Q1</v>
      </c>
      <c r="D86" s="7">
        <v>32277</v>
      </c>
      <c r="E86" s="8">
        <v>26659</v>
      </c>
      <c r="F86" s="7">
        <v>5615</v>
      </c>
      <c r="G86" s="7">
        <v>2362</v>
      </c>
      <c r="H86" s="9">
        <v>3253</v>
      </c>
      <c r="I86" s="18">
        <v>75.419356583889936</v>
      </c>
      <c r="J86" s="19">
        <v>75.804840422391862</v>
      </c>
      <c r="K86" s="20">
        <v>73.761848172930385</v>
      </c>
      <c r="L86" s="18">
        <v>81.87174822094633</v>
      </c>
      <c r="M86" s="21">
        <v>68.746356393315196</v>
      </c>
    </row>
    <row r="87" spans="1:13" x14ac:dyDescent="0.3">
      <c r="A87" s="5" t="s">
        <v>89</v>
      </c>
      <c r="B87" s="6">
        <f t="shared" si="2"/>
        <v>2018</v>
      </c>
      <c r="C87" t="str">
        <f t="shared" si="3"/>
        <v>Q2</v>
      </c>
      <c r="D87" s="7">
        <v>32321</v>
      </c>
      <c r="E87" s="8">
        <v>26720</v>
      </c>
      <c r="F87" s="7">
        <v>5597</v>
      </c>
      <c r="G87" s="7">
        <v>2350</v>
      </c>
      <c r="H87" s="9">
        <v>3248</v>
      </c>
      <c r="I87" s="18">
        <v>75.392864763160958</v>
      </c>
      <c r="J87" s="19">
        <v>75.740312740220517</v>
      </c>
      <c r="K87" s="20">
        <v>73.971859403192624</v>
      </c>
      <c r="L87" s="18">
        <v>82.751947081661868</v>
      </c>
      <c r="M87" s="21">
        <v>68.659088533885864</v>
      </c>
    </row>
    <row r="88" spans="1:13" x14ac:dyDescent="0.3">
      <c r="A88" s="5" t="s">
        <v>90</v>
      </c>
      <c r="B88" s="6">
        <f t="shared" si="2"/>
        <v>2018</v>
      </c>
      <c r="C88" t="str">
        <f t="shared" si="3"/>
        <v>Q3</v>
      </c>
      <c r="D88" s="7">
        <v>32503</v>
      </c>
      <c r="E88" s="8">
        <v>26963</v>
      </c>
      <c r="F88" s="7">
        <v>5532</v>
      </c>
      <c r="G88" s="7">
        <v>2288</v>
      </c>
      <c r="H88" s="9">
        <v>3244</v>
      </c>
      <c r="I88" s="18">
        <v>75.718098403582758</v>
      </c>
      <c r="J88" s="19">
        <v>76.079764600716373</v>
      </c>
      <c r="K88" s="20">
        <v>74.177143318406763</v>
      </c>
      <c r="L88" s="18">
        <v>82.272824752771641</v>
      </c>
      <c r="M88" s="21">
        <v>69.343571756948805</v>
      </c>
    </row>
    <row r="89" spans="1:13" x14ac:dyDescent="0.3">
      <c r="A89" s="5" t="s">
        <v>91</v>
      </c>
      <c r="B89" s="6">
        <f t="shared" si="2"/>
        <v>2018</v>
      </c>
      <c r="C89" t="str">
        <f t="shared" si="3"/>
        <v>Q4</v>
      </c>
      <c r="D89" s="7">
        <v>32671</v>
      </c>
      <c r="E89" s="8">
        <v>27011</v>
      </c>
      <c r="F89" s="7">
        <v>5651</v>
      </c>
      <c r="G89" s="7">
        <v>2303</v>
      </c>
      <c r="H89" s="9">
        <v>3349</v>
      </c>
      <c r="I89" s="18">
        <v>75.999786067148264</v>
      </c>
      <c r="J89" s="19">
        <v>76.322023884517023</v>
      </c>
      <c r="K89" s="20">
        <v>74.686359711109645</v>
      </c>
      <c r="L89" s="18">
        <v>82.604567077234918</v>
      </c>
      <c r="M89" s="21">
        <v>70.057268353757948</v>
      </c>
    </row>
    <row r="90" spans="1:13" x14ac:dyDescent="0.3">
      <c r="A90" s="10" t="s">
        <v>92</v>
      </c>
      <c r="B90" s="6">
        <f t="shared" si="2"/>
        <v>2019</v>
      </c>
      <c r="C90" t="str">
        <f t="shared" si="3"/>
        <v>Q1</v>
      </c>
      <c r="D90" s="11">
        <v>32770</v>
      </c>
      <c r="E90" s="12">
        <v>26946</v>
      </c>
      <c r="F90" s="11">
        <v>5817</v>
      </c>
      <c r="G90" s="11">
        <v>2432</v>
      </c>
      <c r="H90" s="13">
        <v>3386</v>
      </c>
      <c r="I90" s="22">
        <v>75.887170268643402</v>
      </c>
      <c r="J90" s="23">
        <v>76.233543634548468</v>
      </c>
      <c r="K90" s="24">
        <v>74.493354719810227</v>
      </c>
      <c r="L90" s="22">
        <v>82.768352556894541</v>
      </c>
      <c r="M90" s="25">
        <v>69.489347145284412</v>
      </c>
    </row>
    <row r="91" spans="1:13" x14ac:dyDescent="0.3">
      <c r="A91" s="5" t="s">
        <v>93</v>
      </c>
      <c r="B91" s="6">
        <f t="shared" si="2"/>
        <v>2019</v>
      </c>
      <c r="C91" t="str">
        <f t="shared" si="3"/>
        <v>Q2</v>
      </c>
      <c r="D91" s="7">
        <v>32884</v>
      </c>
      <c r="E91" s="8">
        <v>27083</v>
      </c>
      <c r="F91" s="7">
        <v>5793</v>
      </c>
      <c r="G91" s="7">
        <v>2447</v>
      </c>
      <c r="H91" s="9">
        <v>3346</v>
      </c>
      <c r="I91" s="18">
        <v>75.885088242965907</v>
      </c>
      <c r="J91" s="19">
        <v>76.233926094291604</v>
      </c>
      <c r="K91" s="20">
        <v>74.439177811626024</v>
      </c>
      <c r="L91" s="18">
        <v>82.995655222868933</v>
      </c>
      <c r="M91" s="21">
        <v>69.148511854322365</v>
      </c>
    </row>
    <row r="92" spans="1:13" x14ac:dyDescent="0.3">
      <c r="A92" s="5" t="s">
        <v>94</v>
      </c>
      <c r="B92" s="6">
        <f t="shared" si="2"/>
        <v>2019</v>
      </c>
      <c r="C92" t="str">
        <f t="shared" si="3"/>
        <v>Q3</v>
      </c>
      <c r="D92" s="7">
        <v>32923</v>
      </c>
      <c r="E92" s="8">
        <v>27138</v>
      </c>
      <c r="F92" s="7">
        <v>5781</v>
      </c>
      <c r="G92" s="7">
        <v>2373</v>
      </c>
      <c r="H92" s="9">
        <v>3408</v>
      </c>
      <c r="I92" s="18">
        <v>76.068500677692839</v>
      </c>
      <c r="J92" s="19">
        <v>76.232053614364432</v>
      </c>
      <c r="K92" s="20">
        <v>75.455024383745851</v>
      </c>
      <c r="L92" s="18">
        <v>83.111671728989052</v>
      </c>
      <c r="M92" s="21">
        <v>70.860488377776505</v>
      </c>
    </row>
    <row r="93" spans="1:13" x14ac:dyDescent="0.3">
      <c r="A93" s="5" t="s">
        <v>95</v>
      </c>
      <c r="B93" s="6">
        <f t="shared" si="2"/>
        <v>2019</v>
      </c>
      <c r="C93" t="str">
        <f t="shared" si="3"/>
        <v>Q4</v>
      </c>
      <c r="D93" s="7">
        <v>33098</v>
      </c>
      <c r="E93" s="8">
        <v>27273</v>
      </c>
      <c r="F93" s="7">
        <v>5822</v>
      </c>
      <c r="G93" s="7">
        <v>2443</v>
      </c>
      <c r="H93" s="9">
        <v>3379</v>
      </c>
      <c r="I93" s="18">
        <v>76.512777488578649</v>
      </c>
      <c r="J93" s="19">
        <v>76.786760448701969</v>
      </c>
      <c r="K93" s="20">
        <v>75.375700717187073</v>
      </c>
      <c r="L93" s="18">
        <v>82.869847799344683</v>
      </c>
      <c r="M93" s="21">
        <v>70.68459136746651</v>
      </c>
    </row>
    <row r="94" spans="1:13" x14ac:dyDescent="0.3">
      <c r="A94" s="5" t="s">
        <v>96</v>
      </c>
      <c r="B94" s="6">
        <f t="shared" si="2"/>
        <v>2020</v>
      </c>
      <c r="C94" t="str">
        <f t="shared" si="3"/>
        <v>Q1</v>
      </c>
      <c r="D94" s="7">
        <v>32977</v>
      </c>
      <c r="E94" s="8">
        <v>26945</v>
      </c>
      <c r="F94" s="7">
        <v>6023</v>
      </c>
      <c r="G94" s="7">
        <v>2553</v>
      </c>
      <c r="H94" s="9">
        <v>3470</v>
      </c>
      <c r="I94" s="18">
        <v>75.923918561110142</v>
      </c>
      <c r="J94" s="19">
        <v>76.007740333589652</v>
      </c>
      <c r="K94" s="20">
        <v>75.760707762866176</v>
      </c>
      <c r="L94" s="18">
        <v>82.654930028617301</v>
      </c>
      <c r="M94" s="21">
        <v>71.344527629701062</v>
      </c>
    </row>
    <row r="95" spans="1:13" x14ac:dyDescent="0.3">
      <c r="A95" s="5" t="s">
        <v>97</v>
      </c>
      <c r="B95" s="6">
        <f t="shared" si="2"/>
        <v>2020</v>
      </c>
      <c r="C95" t="str">
        <f t="shared" si="3"/>
        <v>Q2</v>
      </c>
      <c r="D95" s="7">
        <v>32553</v>
      </c>
      <c r="E95" s="8">
        <v>26852</v>
      </c>
      <c r="F95" s="7">
        <v>5686</v>
      </c>
      <c r="G95" s="7">
        <v>2342</v>
      </c>
      <c r="H95" s="9">
        <v>3344</v>
      </c>
      <c r="I95" s="18">
        <v>75.214759293301711</v>
      </c>
      <c r="J95" s="19">
        <v>75.242478535316067</v>
      </c>
      <c r="K95" s="20">
        <v>75.322431479998343</v>
      </c>
      <c r="L95" s="18">
        <v>81.193974942135057</v>
      </c>
      <c r="M95" s="21">
        <v>71.625709508392305</v>
      </c>
    </row>
    <row r="96" spans="1:13" x14ac:dyDescent="0.3">
      <c r="A96" s="5" t="s">
        <v>98</v>
      </c>
      <c r="B96" s="6">
        <f t="shared" si="2"/>
        <v>2020</v>
      </c>
      <c r="C96" t="str">
        <f t="shared" si="3"/>
        <v>Q3</v>
      </c>
      <c r="D96" s="7">
        <v>32386</v>
      </c>
      <c r="E96" s="8">
        <v>27061</v>
      </c>
      <c r="F96" s="7">
        <v>5312</v>
      </c>
      <c r="G96" s="7">
        <v>2058</v>
      </c>
      <c r="H96" s="9">
        <v>3254</v>
      </c>
      <c r="I96" s="18">
        <v>74.659128700499465</v>
      </c>
      <c r="J96" s="19">
        <v>74.710380780844289</v>
      </c>
      <c r="K96" s="20">
        <v>74.608590271699256</v>
      </c>
      <c r="L96" s="18">
        <v>80.532844646264294</v>
      </c>
      <c r="M96" s="21">
        <v>71.240645667581731</v>
      </c>
    </row>
    <row r="97" spans="1:13" x14ac:dyDescent="0.3">
      <c r="A97" s="5" t="s">
        <v>99</v>
      </c>
      <c r="B97" s="6">
        <f t="shared" si="2"/>
        <v>2020</v>
      </c>
      <c r="C97" t="str">
        <f t="shared" si="3"/>
        <v>Q4</v>
      </c>
      <c r="D97" s="7">
        <v>32304</v>
      </c>
      <c r="E97" s="8">
        <v>27144</v>
      </c>
      <c r="F97" s="7">
        <v>5155</v>
      </c>
      <c r="G97" s="7">
        <v>1998</v>
      </c>
      <c r="H97" s="9">
        <v>3157</v>
      </c>
      <c r="I97" s="18">
        <v>74.451423985687342</v>
      </c>
      <c r="J97" s="19">
        <v>74.592672260698933</v>
      </c>
      <c r="K97" s="20">
        <v>73.917655125956912</v>
      </c>
      <c r="L97" s="18">
        <v>79.038989785044294</v>
      </c>
      <c r="M97" s="21">
        <v>70.961539578760721</v>
      </c>
    </row>
    <row r="98" spans="1:13" x14ac:dyDescent="0.3">
      <c r="A98" s="5" t="s">
        <v>100</v>
      </c>
      <c r="B98" s="6">
        <f t="shared" si="2"/>
        <v>2021</v>
      </c>
      <c r="C98" t="str">
        <f t="shared" si="3"/>
        <v>Q1</v>
      </c>
      <c r="D98" s="7">
        <v>32319</v>
      </c>
      <c r="E98" s="8">
        <v>27159</v>
      </c>
      <c r="F98" s="7">
        <v>5157</v>
      </c>
      <c r="G98" s="7">
        <v>1967</v>
      </c>
      <c r="H98" s="9">
        <v>3190</v>
      </c>
      <c r="I98" s="18">
        <v>74.423004279882647</v>
      </c>
      <c r="J98" s="19">
        <v>74.486597727159037</v>
      </c>
      <c r="K98" s="20">
        <v>74.368012669095179</v>
      </c>
      <c r="L98" s="18">
        <v>79.251335449693755</v>
      </c>
      <c r="M98" s="21">
        <v>71.607832328516423</v>
      </c>
    </row>
    <row r="99" spans="1:13" x14ac:dyDescent="0.3">
      <c r="A99" s="5" t="s">
        <v>101</v>
      </c>
      <c r="B99" s="6">
        <f t="shared" si="2"/>
        <v>2021</v>
      </c>
      <c r="C99" t="str">
        <f t="shared" si="3"/>
        <v>Q2</v>
      </c>
      <c r="D99" s="7">
        <v>32369</v>
      </c>
      <c r="E99" s="8">
        <v>26929</v>
      </c>
      <c r="F99" s="7">
        <v>5434</v>
      </c>
      <c r="G99" s="7">
        <v>2035</v>
      </c>
      <c r="H99" s="9">
        <v>3399</v>
      </c>
      <c r="I99" s="18">
        <v>74.520896933316294</v>
      </c>
      <c r="J99" s="19">
        <v>74.592761422748481</v>
      </c>
      <c r="K99" s="20">
        <v>74.500445285147308</v>
      </c>
      <c r="L99" s="18">
        <v>80.976901215889981</v>
      </c>
      <c r="M99" s="21">
        <v>71.05853074163187</v>
      </c>
    </row>
    <row r="100" spans="1:13" x14ac:dyDescent="0.3">
      <c r="A100" s="5" t="s">
        <v>102</v>
      </c>
      <c r="B100" s="6">
        <f t="shared" si="2"/>
        <v>2021</v>
      </c>
      <c r="C100" t="str">
        <f t="shared" si="3"/>
        <v>Q3</v>
      </c>
      <c r="D100" s="7">
        <v>32752</v>
      </c>
      <c r="E100" s="8">
        <v>27132</v>
      </c>
      <c r="F100" s="7">
        <v>5614</v>
      </c>
      <c r="G100" s="7">
        <v>2083</v>
      </c>
      <c r="H100" s="9">
        <v>3531</v>
      </c>
      <c r="I100" s="18">
        <v>75.099335460594986</v>
      </c>
      <c r="J100" s="19">
        <v>75.175184118970705</v>
      </c>
      <c r="K100" s="20">
        <v>74.994872155833676</v>
      </c>
      <c r="L100" s="18">
        <v>82.035330707162601</v>
      </c>
      <c r="M100" s="21">
        <v>71.353524852972953</v>
      </c>
    </row>
    <row r="101" spans="1:13" x14ac:dyDescent="0.3">
      <c r="A101" s="5" t="s">
        <v>103</v>
      </c>
      <c r="B101" s="6">
        <f t="shared" si="2"/>
        <v>2021</v>
      </c>
      <c r="C101" t="str">
        <f t="shared" si="3"/>
        <v>Q4</v>
      </c>
      <c r="D101" s="7">
        <v>32766</v>
      </c>
      <c r="E101" s="8">
        <v>27106</v>
      </c>
      <c r="F101" s="7">
        <v>5655</v>
      </c>
      <c r="G101" s="7">
        <v>2100</v>
      </c>
      <c r="H101" s="9">
        <v>3555</v>
      </c>
      <c r="I101" s="18">
        <v>75.190902781336348</v>
      </c>
      <c r="J101" s="19">
        <v>75.316941263754529</v>
      </c>
      <c r="K101" s="20">
        <v>74.894734995947104</v>
      </c>
      <c r="L101" s="18">
        <v>83.268143826816015</v>
      </c>
      <c r="M101" s="21">
        <v>70.672368002873029</v>
      </c>
    </row>
    <row r="102" spans="1:13" x14ac:dyDescent="0.3">
      <c r="A102" s="5" t="s">
        <v>104</v>
      </c>
      <c r="B102" s="6">
        <f t="shared" si="2"/>
        <v>2022</v>
      </c>
      <c r="C102" t="str">
        <f t="shared" si="3"/>
        <v>Q1</v>
      </c>
      <c r="D102" s="7">
        <v>32796</v>
      </c>
      <c r="E102" s="8">
        <v>26907</v>
      </c>
      <c r="F102" s="7">
        <v>5881</v>
      </c>
      <c r="G102" s="7">
        <v>2206</v>
      </c>
      <c r="H102" s="9">
        <v>3675</v>
      </c>
      <c r="I102" s="18">
        <v>75.109654989845154</v>
      </c>
      <c r="J102" s="19">
        <v>75.086612055885098</v>
      </c>
      <c r="K102" s="20">
        <v>75.311292495796351</v>
      </c>
      <c r="L102" s="18">
        <v>83.079362946038572</v>
      </c>
      <c r="M102" s="21">
        <v>71.288804314109143</v>
      </c>
    </row>
    <row r="103" spans="1:13" x14ac:dyDescent="0.3">
      <c r="A103" s="5" t="s">
        <v>105</v>
      </c>
      <c r="B103" s="6">
        <f t="shared" si="2"/>
        <v>2022</v>
      </c>
      <c r="C103" t="str">
        <f t="shared" si="3"/>
        <v>Q2</v>
      </c>
      <c r="D103" s="7">
        <v>32924</v>
      </c>
      <c r="E103" s="8">
        <v>26835</v>
      </c>
      <c r="F103" s="7">
        <v>6077</v>
      </c>
      <c r="G103" s="7">
        <v>2205</v>
      </c>
      <c r="H103" s="9">
        <v>3873</v>
      </c>
      <c r="I103" s="18">
        <v>74.867002235393485</v>
      </c>
      <c r="J103" s="19">
        <v>74.86894931877589</v>
      </c>
      <c r="K103" s="20">
        <v>75.033034139465244</v>
      </c>
      <c r="L103" s="18">
        <v>82.445887916943946</v>
      </c>
      <c r="M103" s="21">
        <v>71.370236705032738</v>
      </c>
    </row>
    <row r="104" spans="1:13" x14ac:dyDescent="0.3">
      <c r="A104" s="5" t="s">
        <v>106</v>
      </c>
      <c r="B104" s="6">
        <f t="shared" si="2"/>
        <v>2022</v>
      </c>
      <c r="C104" t="str">
        <f t="shared" si="3"/>
        <v>Q3</v>
      </c>
      <c r="D104" s="7">
        <v>32953</v>
      </c>
      <c r="E104" s="8">
        <v>26637</v>
      </c>
      <c r="F104" s="7">
        <v>6307</v>
      </c>
      <c r="G104" s="7">
        <v>2198</v>
      </c>
      <c r="H104" s="9">
        <v>4110</v>
      </c>
      <c r="I104" s="18">
        <v>75.01397814094048</v>
      </c>
      <c r="J104" s="19">
        <v>75.054773883217933</v>
      </c>
      <c r="K104" s="20">
        <v>75.008771109349908</v>
      </c>
      <c r="L104" s="18">
        <v>81.053861514240594</v>
      </c>
      <c r="M104" s="21">
        <v>72.113338248683021</v>
      </c>
    </row>
    <row r="105" spans="1:13" x14ac:dyDescent="0.3">
      <c r="A105" s="5" t="s">
        <v>107</v>
      </c>
      <c r="B105" s="6">
        <f t="shared" si="2"/>
        <v>2022</v>
      </c>
      <c r="C105" t="str">
        <f t="shared" si="3"/>
        <v>Q4</v>
      </c>
      <c r="D105" s="7">
        <v>33149</v>
      </c>
      <c r="E105" s="8">
        <v>26690</v>
      </c>
      <c r="F105" s="7">
        <v>6456</v>
      </c>
      <c r="G105" s="7">
        <v>2301</v>
      </c>
      <c r="H105" s="9">
        <v>4155</v>
      </c>
      <c r="I105" s="18">
        <v>75.269114707951275</v>
      </c>
      <c r="J105" s="19">
        <v>75.301071269576099</v>
      </c>
      <c r="K105" s="20">
        <v>75.302827849668887</v>
      </c>
      <c r="L105" s="18">
        <v>81.720807948024373</v>
      </c>
      <c r="M105" s="21">
        <v>72.133790815255679</v>
      </c>
    </row>
    <row r="106" spans="1:13" x14ac:dyDescent="0.3">
      <c r="A106" s="5" t="s">
        <v>108</v>
      </c>
      <c r="B106" s="6">
        <f t="shared" si="2"/>
        <v>2023</v>
      </c>
      <c r="C106" t="str">
        <f t="shared" si="3"/>
        <v>Q1</v>
      </c>
      <c r="D106" s="7">
        <v>33329</v>
      </c>
      <c r="E106" s="8">
        <v>26746</v>
      </c>
      <c r="F106" s="7">
        <v>6582</v>
      </c>
      <c r="G106" s="7">
        <v>2314</v>
      </c>
      <c r="H106" s="9">
        <v>4268</v>
      </c>
      <c r="I106" s="18">
        <v>75.278604538158561</v>
      </c>
      <c r="J106" s="19">
        <v>75.193347828961038</v>
      </c>
      <c r="K106" s="20">
        <v>75.749797561186867</v>
      </c>
      <c r="L106" s="18">
        <v>83.049980157169841</v>
      </c>
      <c r="M106" s="21">
        <v>72.266055234832351</v>
      </c>
    </row>
    <row r="107" spans="1:13" x14ac:dyDescent="0.3">
      <c r="A107" s="5" t="s">
        <v>109</v>
      </c>
      <c r="B107" s="6">
        <f t="shared" si="2"/>
        <v>2023</v>
      </c>
      <c r="C107" t="str">
        <f t="shared" si="3"/>
        <v>Q2</v>
      </c>
      <c r="D107" s="7">
        <v>33275</v>
      </c>
      <c r="E107" s="8">
        <v>26679</v>
      </c>
      <c r="F107" s="7">
        <v>6589</v>
      </c>
      <c r="G107" s="7">
        <v>2232</v>
      </c>
      <c r="H107" s="9">
        <v>4357</v>
      </c>
      <c r="I107" s="18">
        <v>75.006095928324783</v>
      </c>
      <c r="J107" s="19">
        <v>74.950495467152024</v>
      </c>
      <c r="K107" s="20">
        <v>75.41904257776973</v>
      </c>
      <c r="L107" s="18">
        <v>82.600009872716754</v>
      </c>
      <c r="M107" s="21">
        <v>72.150276817922531</v>
      </c>
    </row>
    <row r="108" spans="1:13" x14ac:dyDescent="0.3">
      <c r="A108" s="5" t="s">
        <v>110</v>
      </c>
      <c r="B108" s="6">
        <f t="shared" si="2"/>
        <v>2023</v>
      </c>
      <c r="C108" t="str">
        <f t="shared" si="3"/>
        <v>Q3</v>
      </c>
      <c r="D108" s="7">
        <v>33379</v>
      </c>
      <c r="E108" s="8">
        <v>26656</v>
      </c>
      <c r="F108" s="7">
        <v>6713</v>
      </c>
      <c r="G108" s="7">
        <v>2274</v>
      </c>
      <c r="H108" s="9">
        <v>4439</v>
      </c>
      <c r="I108" s="18">
        <v>74.935404703270208</v>
      </c>
      <c r="J108" s="19">
        <v>74.961954911888213</v>
      </c>
      <c r="K108" s="20">
        <v>75.060734898286881</v>
      </c>
      <c r="L108" s="18">
        <v>79.777327805372451</v>
      </c>
      <c r="M108" s="21">
        <v>72.824410687338386</v>
      </c>
    </row>
    <row r="109" spans="1:13" x14ac:dyDescent="0.3">
      <c r="A109" s="5" t="s">
        <v>111</v>
      </c>
      <c r="B109" s="6">
        <f t="shared" si="2"/>
        <v>2023</v>
      </c>
      <c r="C109" t="str">
        <f t="shared" si="3"/>
        <v>Q4</v>
      </c>
      <c r="D109" s="7">
        <v>33412</v>
      </c>
      <c r="E109" s="8">
        <v>26470</v>
      </c>
      <c r="F109" s="7">
        <v>6926</v>
      </c>
      <c r="G109" s="7">
        <v>2311</v>
      </c>
      <c r="H109" s="9">
        <v>4615</v>
      </c>
      <c r="I109" s="18">
        <v>74.987113639001308</v>
      </c>
      <c r="J109" s="19">
        <v>74.738142392642203</v>
      </c>
      <c r="K109" s="20">
        <v>76.002221716550665</v>
      </c>
      <c r="L109" s="18">
        <v>81.568199212193576</v>
      </c>
      <c r="M109" s="21">
        <v>73.462945348823354</v>
      </c>
    </row>
    <row r="110" spans="1:13" x14ac:dyDescent="0.3">
      <c r="A110" s="5" t="s">
        <v>112</v>
      </c>
      <c r="B110" s="6">
        <f t="shared" si="2"/>
        <v>2024</v>
      </c>
      <c r="C110" t="str">
        <f t="shared" si="3"/>
        <v>Q1</v>
      </c>
      <c r="D110" s="7">
        <v>33334</v>
      </c>
      <c r="E110" s="8">
        <v>26448</v>
      </c>
      <c r="F110" s="7">
        <v>6886</v>
      </c>
      <c r="G110" s="7">
        <v>2234</v>
      </c>
      <c r="H110" s="9">
        <v>4652</v>
      </c>
      <c r="I110" s="18">
        <v>74.481362173187478</v>
      </c>
      <c r="J110" s="19">
        <v>74.428230725176675</v>
      </c>
      <c r="K110" s="20">
        <v>74.86369132042131</v>
      </c>
      <c r="L110" s="18">
        <v>80.200903883835679</v>
      </c>
      <c r="M110" s="21">
        <v>72.528613600416634</v>
      </c>
    </row>
    <row r="111" spans="1:13" x14ac:dyDescent="0.3">
      <c r="A111" s="5" t="s">
        <v>113</v>
      </c>
      <c r="B111" s="6">
        <f t="shared" si="2"/>
        <v>2024</v>
      </c>
      <c r="C111" t="str">
        <f t="shared" si="3"/>
        <v>Q2</v>
      </c>
      <c r="D111" s="7">
        <v>33417</v>
      </c>
      <c r="E111" s="8">
        <v>26514</v>
      </c>
      <c r="F111" s="7">
        <v>6902</v>
      </c>
      <c r="G111" s="7">
        <v>2237</v>
      </c>
      <c r="H111" s="9">
        <v>4665</v>
      </c>
      <c r="I111" s="18">
        <v>74.387722699127707</v>
      </c>
      <c r="J111" s="19">
        <v>74.345988755715439</v>
      </c>
      <c r="K111" s="20">
        <v>74.661639143065671</v>
      </c>
      <c r="L111" s="18">
        <v>79.50638349936149</v>
      </c>
      <c r="M111" s="21">
        <v>72.531476749473256</v>
      </c>
    </row>
    <row r="112" spans="1:13" x14ac:dyDescent="0.3">
      <c r="A112" s="5" t="s">
        <v>114</v>
      </c>
      <c r="B112" s="6">
        <f t="shared" si="2"/>
        <v>2024</v>
      </c>
      <c r="C112" t="str">
        <f t="shared" si="3"/>
        <v>Q3</v>
      </c>
      <c r="D112" s="7">
        <v>33804</v>
      </c>
      <c r="E112" s="8">
        <v>26710</v>
      </c>
      <c r="F112" s="7">
        <v>7093</v>
      </c>
      <c r="G112" s="7">
        <v>2226</v>
      </c>
      <c r="H112" s="9">
        <v>4868</v>
      </c>
      <c r="I112" s="18">
        <v>74.982313299910103</v>
      </c>
      <c r="J112" s="19">
        <v>74.692156224594385</v>
      </c>
      <c r="K112" s="20">
        <v>76.182140155811467</v>
      </c>
      <c r="L112" s="18">
        <v>80.834267045743928</v>
      </c>
      <c r="M112" s="21">
        <v>74.225494399291364</v>
      </c>
    </row>
    <row r="113" spans="1:13" x14ac:dyDescent="0.3">
      <c r="A113" s="5" t="s">
        <v>115</v>
      </c>
      <c r="B113" s="6">
        <f t="shared" si="2"/>
        <v>2024</v>
      </c>
      <c r="C113" t="str">
        <f t="shared" si="3"/>
        <v>Q4</v>
      </c>
      <c r="D113" s="7">
        <v>33896</v>
      </c>
      <c r="E113" s="8">
        <v>26844</v>
      </c>
      <c r="F113" s="7">
        <v>7044</v>
      </c>
      <c r="G113" s="7">
        <v>2261</v>
      </c>
      <c r="H113" s="9">
        <v>4784</v>
      </c>
      <c r="I113" s="18">
        <v>75.087664390240462</v>
      </c>
      <c r="J113" s="19">
        <v>74.733153567528888</v>
      </c>
      <c r="K113" s="20">
        <v>76.665119016669237</v>
      </c>
      <c r="L113" s="18">
        <v>81.851408515747664</v>
      </c>
      <c r="M113" s="21">
        <v>74.415494632499104</v>
      </c>
    </row>
    <row r="114" spans="1:13" x14ac:dyDescent="0.3">
      <c r="A114" s="5" t="s">
        <v>116</v>
      </c>
      <c r="B114" s="6">
        <f t="shared" si="2"/>
        <v>2025</v>
      </c>
      <c r="C114" t="str">
        <f t="shared" si="3"/>
        <v>Q1</v>
      </c>
      <c r="D114" s="7">
        <v>33979</v>
      </c>
      <c r="E114" s="8">
        <v>26849</v>
      </c>
      <c r="F114" s="7">
        <v>7120</v>
      </c>
      <c r="G114" s="7">
        <v>2276</v>
      </c>
      <c r="H114" s="9">
        <v>4845</v>
      </c>
      <c r="I114" s="18">
        <v>74.996266588898081</v>
      </c>
      <c r="J114" s="19">
        <v>74.627173546404038</v>
      </c>
      <c r="K114" s="20">
        <v>76.558297234961188</v>
      </c>
      <c r="L114" s="18">
        <v>82.35190389432762</v>
      </c>
      <c r="M114" s="21">
        <v>74.082307940749942</v>
      </c>
    </row>
    <row r="115" spans="1:13" x14ac:dyDescent="0.3">
      <c r="A115" s="5" t="s">
        <v>117</v>
      </c>
      <c r="B115" s="6">
        <f t="shared" si="2"/>
        <v>2025</v>
      </c>
      <c r="C115" t="str">
        <f t="shared" si="3"/>
        <v>Q2</v>
      </c>
      <c r="D115" s="7">
        <v>34170</v>
      </c>
      <c r="E115" s="8">
        <v>26902</v>
      </c>
      <c r="F115" s="7">
        <v>7260</v>
      </c>
      <c r="G115" s="7">
        <v>2253</v>
      </c>
      <c r="H115" s="9">
        <v>5007</v>
      </c>
      <c r="I115" s="18">
        <v>75.134816252401478</v>
      </c>
      <c r="J115" s="19">
        <v>74.626890395220229</v>
      </c>
      <c r="K115" s="20">
        <v>77.310533331709436</v>
      </c>
      <c r="L115" s="18">
        <v>81.475778646515124</v>
      </c>
      <c r="M115" s="21">
        <v>75.553139369668799</v>
      </c>
    </row>
    <row r="116" spans="1:13" x14ac:dyDescent="0.3">
      <c r="A116" s="5" t="s">
        <v>118</v>
      </c>
      <c r="B116" s="6">
        <f t="shared" si="2"/>
        <v>2025</v>
      </c>
      <c r="C116" t="str">
        <f t="shared" si="3"/>
        <v>Q3</v>
      </c>
      <c r="D116" s="7">
        <v>34216</v>
      </c>
      <c r="E116" s="8">
        <v>26877</v>
      </c>
      <c r="F116" s="7">
        <v>7333</v>
      </c>
      <c r="G116" s="7">
        <v>2251</v>
      </c>
      <c r="H116" s="9">
        <v>5082</v>
      </c>
      <c r="I116" s="18">
        <v>75.068743630522917</v>
      </c>
      <c r="J116" s="19">
        <v>74.683766500575217</v>
      </c>
      <c r="K116" s="20">
        <v>76.622458334768083</v>
      </c>
      <c r="L116" s="18">
        <v>81.084476914421472</v>
      </c>
      <c r="M116" s="21">
        <v>74.783344836609416</v>
      </c>
    </row>
    <row r="117" spans="1:13" x14ac:dyDescent="0.3">
      <c r="A117" s="5" t="s">
        <v>119</v>
      </c>
      <c r="B117" s="6">
        <f t="shared" si="2"/>
        <v>2025</v>
      </c>
      <c r="C117" t="str">
        <f t="shared" si="3"/>
        <v>Q4</v>
      </c>
      <c r="D117" s="7">
        <v>34275</v>
      </c>
      <c r="E117" s="8">
        <v>26873</v>
      </c>
      <c r="F117" s="7">
        <v>7398</v>
      </c>
      <c r="G117" s="7">
        <v>2287</v>
      </c>
      <c r="H117" s="9">
        <v>5112</v>
      </c>
      <c r="I117" s="18">
        <v>75.08188656510238</v>
      </c>
      <c r="J117" s="19">
        <v>74.684657732592115</v>
      </c>
      <c r="K117" s="20">
        <v>76.686445549804432</v>
      </c>
      <c r="L117" s="18">
        <v>80.393744089285761</v>
      </c>
      <c r="M117" s="21">
        <v>75.124628395338419</v>
      </c>
    </row>
    <row r="118" spans="1:13" x14ac:dyDescent="0.3">
      <c r="A118" s="14" t="s">
        <v>120</v>
      </c>
      <c r="B118" s="6">
        <f t="shared" si="2"/>
        <v>2026</v>
      </c>
      <c r="C118" t="str">
        <f t="shared" si="3"/>
        <v>Q1</v>
      </c>
      <c r="D118" s="15">
        <v>34369</v>
      </c>
      <c r="E118" s="16">
        <v>26669</v>
      </c>
      <c r="F118" s="15">
        <v>7698</v>
      </c>
      <c r="G118" s="15">
        <v>2400</v>
      </c>
      <c r="H118" s="17">
        <v>5298</v>
      </c>
      <c r="I118" s="26">
        <v>74.948682029966221</v>
      </c>
      <c r="J118" s="27">
        <v>74.36153892120268</v>
      </c>
      <c r="K118" s="28">
        <v>77.187636159819448</v>
      </c>
      <c r="L118" s="26">
        <v>80.137700349386392</v>
      </c>
      <c r="M118" s="29">
        <v>75.906874107893088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Gitu Etorti</dc:creator>
  <cp:lastModifiedBy>Gitu Etorti</cp:lastModifiedBy>
  <dcterms:created xsi:type="dcterms:W3CDTF">2026-07-21T08:40:47Z</dcterms:created>
  <dcterms:modified xsi:type="dcterms:W3CDTF">2026-07-21T08:59:19Z</dcterms:modified>
</cp:coreProperties>
</file>